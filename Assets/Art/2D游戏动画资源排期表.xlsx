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40" yWindow="1120" windowWidth="24690" windowHeight="12680" tabRatio="600" firstSheet="0" activeTab="0" autoFilterDateGrouping="1"/>
  </bookViews>
  <sheets>
    <sheet xmlns:r="http://schemas.openxmlformats.org/officeDocument/2006/relationships" name="进度看板" sheetId="1" state="visible" r:id="rId1"/>
    <sheet xmlns:r="http://schemas.openxmlformats.org/officeDocument/2006/relationships" name="主角动作清单" sheetId="2" state="visible" r:id="rId2"/>
    <sheet xmlns:r="http://schemas.openxmlformats.org/officeDocument/2006/relationships" name="敌人与BOSS" sheetId="3" state="visible" r:id="rId3"/>
    <sheet xmlns:r="http://schemas.openxmlformats.org/officeDocument/2006/relationships" name="资源规范" sheetId="4" state="visible" r:id="rId4"/>
  </sheets>
  <definedNames>
    <definedName name="_xlnm._FilterDatabase" localSheetId="1" hidden="1">'主角动作清单'!$A$1:$Q$23</definedName>
    <definedName name="_xlnm._FilterDatabase" localSheetId="2" hidden="1">'敌人与BOSS'!$A$1:$Q$29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.5"/>
    </font>
    <font>
      <name val="微软雅黑"/>
      <charset val="134"/>
      <family val="2"/>
      <sz val="10"/>
    </font>
    <font>
      <name val="微软雅黑"/>
      <charset val="134"/>
      <family val="2"/>
      <b val="1"/>
      <color rgb="FF375623"/>
      <sz val="10"/>
    </font>
    <font>
      <name val="微软雅黑"/>
      <charset val="134"/>
      <family val="2"/>
      <b val="1"/>
      <color rgb="FF7F6000"/>
      <sz val="10"/>
    </font>
    <font>
      <name val="微软雅黑"/>
      <charset val="134"/>
      <family val="2"/>
      <b val="1"/>
      <color rgb="FF595959"/>
      <sz val="10"/>
    </font>
    <font>
      <name val="微软雅黑"/>
      <charset val="134"/>
      <family val="2"/>
      <b val="1"/>
      <color rgb="FF375623"/>
      <sz val="14"/>
    </font>
    <font>
      <name val="微软雅黑"/>
      <charset val="134"/>
      <family val="2"/>
      <b val="1"/>
      <color rgb="FF1A1B1C"/>
      <sz val="10.5"/>
    </font>
    <font>
      <name val="微软雅黑"/>
      <charset val="134"/>
      <family val="2"/>
      <b val="1"/>
      <sz val="10.5"/>
    </font>
    <font>
      <name val="微软雅黑"/>
      <charset val="134"/>
      <family val="2"/>
      <sz val="10.5"/>
    </font>
    <font>
      <name val="微软雅黑"/>
      <charset val="134"/>
      <family val="2"/>
      <b val="1"/>
      <sz val="10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0" pivotButton="0" quotePrefix="0" xfId="0"/>
    <xf numFmtId="164" fontId="9" fillId="0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tabSelected="1" workbookViewId="0">
      <selection activeCell="A1" sqref="A1:I1"/>
    </sheetView>
  </sheetViews>
  <sheetFormatPr baseColWidth="8" defaultRowHeight="14"/>
  <cols>
    <col width="16" customWidth="1" style="19" min="1" max="1"/>
    <col width="10" customWidth="1" style="19" min="2" max="6"/>
    <col width="12" customWidth="1" style="19" min="7" max="7"/>
    <col width="13" customWidth="1" style="19" min="8" max="8"/>
    <col width="10" customWidth="1" style="19" min="9" max="9"/>
  </cols>
  <sheetData>
    <row r="1" ht="20" customHeight="1" s="19">
      <c r="A1" s="20" t="inlineStr">
        <is>
          <t>动画资源进度看板（帧数与完成率随清单自动统计）</t>
        </is>
      </c>
    </row>
    <row r="3" ht="30" customHeight="1" s="19">
      <c r="A3" s="1" t="inlineStr">
        <is>
          <t>对象</t>
        </is>
      </c>
      <c r="B3" s="1" t="inlineStr">
        <is>
          <t>动作条数</t>
        </is>
      </c>
      <c r="C3" s="1" t="inlineStr">
        <is>
          <t>总帧数</t>
        </is>
      </c>
      <c r="D3" s="1" t="inlineStr">
        <is>
          <t>P0 帧数</t>
        </is>
      </c>
      <c r="E3" s="1" t="inlineStr">
        <is>
          <t>P1 帧数</t>
        </is>
      </c>
      <c r="F3" s="1" t="inlineStr">
        <is>
          <t>P2 帧数</t>
        </is>
      </c>
      <c r="G3" s="1" t="inlineStr">
        <is>
          <t>已完成帧数</t>
        </is>
      </c>
      <c r="H3" s="1" t="inlineStr">
        <is>
          <t>验收通过帧数</t>
        </is>
      </c>
      <c r="I3" s="1" t="inlineStr">
        <is>
          <t>完成率</t>
        </is>
      </c>
    </row>
    <row r="4" ht="15" customHeight="1" s="19">
      <c r="A4" s="2" t="inlineStr">
        <is>
          <t>主角 Player</t>
        </is>
      </c>
      <c r="B4" s="3">
        <f>COUNTA(主角动作清单!E2:E23)</f>
        <v/>
      </c>
      <c r="C4" s="3">
        <f>SUM(主角动作清单!F2:F23)</f>
        <v/>
      </c>
      <c r="D4" s="3">
        <f>SUMIF(主角动作清单!C2:C23,"P0",主角动作清单!F2:F23)</f>
        <v/>
      </c>
      <c r="E4" s="3">
        <f>SUMIF(主角动作清单!C2:C23,"P1",主角动作清单!F2:F23)</f>
        <v/>
      </c>
      <c r="F4" s="3">
        <f>SUMIF(主角动作清单!C2:C23,"P2",主角动作清单!F2:F23)</f>
        <v/>
      </c>
      <c r="G4" s="3">
        <f>SUMIF(主角动作清单!O2:O23,"已完成",主角动作清单!F2:F23)</f>
        <v/>
      </c>
      <c r="H4" s="3">
        <f>SUMIF(主角动作清单!P2:P23,"通过",主角动作清单!F2:F23)</f>
        <v/>
      </c>
      <c r="I4" s="21">
        <f>IF(C4=0,"",G4/C4)</f>
        <v/>
      </c>
    </row>
    <row r="5" ht="15" customHeight="1" s="19">
      <c r="A5" s="2" t="inlineStr">
        <is>
          <t>敌人与 BOSS</t>
        </is>
      </c>
      <c r="B5" s="3">
        <f>COUNTA(敌人与BOSS!E2:E30)</f>
        <v/>
      </c>
      <c r="C5" s="3">
        <f>SUM(敌人与BOSS!F2:F30)</f>
        <v/>
      </c>
      <c r="D5" s="3">
        <f>SUMIF(敌人与BOSS!C2:C30,"P0",敌人与BOSS!F2:F30)</f>
        <v/>
      </c>
      <c r="E5" s="3">
        <f>SUMIF(敌人与BOSS!C2:C30,"P1",敌人与BOSS!F2:F30)</f>
        <v/>
      </c>
      <c r="F5" s="3">
        <f>SUMIF(敌人与BOSS!C2:C30,"P2",敌人与BOSS!F2:F30)</f>
        <v/>
      </c>
      <c r="G5" s="3">
        <f>SUMIF(敌人与BOSS!O2:O30,"已完成",敌人与BOSS!F2:F30)</f>
        <v/>
      </c>
      <c r="H5" s="3">
        <f>SUMIF(敌人与BOSS!P2:P30,"通过",敌人与BOSS!F2:F30)</f>
        <v/>
      </c>
      <c r="I5" s="21">
        <f>IF(C5=0,"",G5/C5)</f>
        <v/>
      </c>
    </row>
    <row r="6" ht="15" customHeight="1" s="19">
      <c r="A6" s="5" t="inlineStr">
        <is>
          <t>合计</t>
        </is>
      </c>
      <c r="B6" s="6">
        <f>B4+B5</f>
        <v/>
      </c>
      <c r="C6" s="6">
        <f>C4+C5</f>
        <v/>
      </c>
      <c r="D6" s="6">
        <f>D4+D5</f>
        <v/>
      </c>
      <c r="E6" s="6">
        <f>E4+E5</f>
        <v/>
      </c>
      <c r="F6" s="6">
        <f>F4+F5</f>
        <v/>
      </c>
      <c r="G6" s="6">
        <f>G4+G5</f>
        <v/>
      </c>
      <c r="H6" s="6">
        <f>H4+H5</f>
        <v/>
      </c>
      <c r="I6" s="22">
        <f>IF(C6=0,"",G6/C6)</f>
        <v/>
      </c>
    </row>
    <row r="8" ht="22" customHeight="1" s="19">
      <c r="A8" s="8" t="inlineStr">
        <is>
          <t>使用说明</t>
        </is>
      </c>
      <c r="B8" s="18" t="n"/>
    </row>
    <row r="9" ht="30" customHeight="1" s="19">
      <c r="A9" s="8" t="inlineStr">
        <is>
          <t>1</t>
        </is>
      </c>
      <c r="B9" s="18" t="inlineStr">
        <is>
          <t>在两张清单中把「制作状态」改为 制作中 / 已完成，本表总帧数、P0-P1-P2 帧数与完成率自动更新。</t>
        </is>
      </c>
    </row>
    <row r="10" ht="30" customHeight="1" s="19">
      <c r="A10" s="8" t="inlineStr">
        <is>
          <t>2</t>
        </is>
      </c>
      <c r="B10" s="18" t="inlineStr">
        <is>
          <t>调整帧数或 Samples 后，清单「时长(s)」自动重算；新增动作请在表尾插入行并把公式/下拉向下填充。</t>
        </is>
      </c>
    </row>
    <row r="11" ht="30" customHeight="1" s="19">
      <c r="A11" s="8" t="inlineStr">
        <is>
          <t>3</t>
        </is>
      </c>
      <c r="B11" s="18" t="inlineStr">
        <is>
          <t>「动画事件帧」是客户端挂 Animation Event 的依据（Hitbox 开关、音效、特效、控制恢复）。</t>
        </is>
      </c>
    </row>
    <row r="12" ht="30" customHeight="1" s="19">
      <c r="A12" s="8" t="inlineStr">
        <is>
          <t>优先级口径</t>
        </is>
      </c>
      <c r="B12" s="18" t="inlineStr">
        <is>
          <t>P0=必做（三关卡 MVP）；P1=推荐（手感与答辩展示）；P2=可选（时间富余再做）。</t>
        </is>
      </c>
    </row>
    <row r="13" ht="30" customHeight="1" s="19">
      <c r="A13" s="8" t="inlineStr">
        <is>
          <t>帧数口径</t>
        </is>
      </c>
      <c r="B13" s="18" t="inlineStr">
        <is>
          <t>帧数区间对齐 itch.io 主流 2D 平台动作素材包；主角 Run 采用 16 帧 @24（0.67s 循环）。</t>
        </is>
      </c>
    </row>
  </sheetData>
  <mergeCells count="7">
    <mergeCell ref="B9:I9"/>
    <mergeCell ref="B13:I13"/>
    <mergeCell ref="B12:I12"/>
    <mergeCell ref="B11:I11"/>
    <mergeCell ref="B10:I10"/>
    <mergeCell ref="A1:I1"/>
    <mergeCell ref="B8:I8"/>
  </mergeCells>
  <conditionalFormatting sqref="I4:I6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3" right="0.3" top="0.4" bottom="0.4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"/>
  <cols>
    <col width="15" customWidth="1" style="19" min="1" max="1"/>
    <col width="6" customWidth="1" style="19" min="2" max="2"/>
    <col width="8" customWidth="1" style="19" min="3" max="3"/>
    <col width="20" customWidth="1" style="19" min="4" max="4"/>
    <col width="13" customWidth="1" style="19" min="5" max="5"/>
    <col width="7" customWidth="1" style="19" min="6" max="6"/>
    <col width="9" customWidth="1" style="19" min="7" max="7"/>
    <col width="7" customWidth="1" style="19" min="8" max="8"/>
    <col width="8" customWidth="1" style="19" min="9" max="9"/>
    <col width="36" customWidth="1" style="19" min="10" max="10"/>
    <col width="22" customWidth="1" style="19" min="11" max="11"/>
    <col width="34" customWidth="1" style="19" min="12" max="12"/>
    <col width="30" customWidth="1" style="19" min="13" max="13"/>
    <col width="11" customWidth="1" style="19" min="14" max="14"/>
    <col width="10" customWidth="1" style="19" min="15" max="15"/>
    <col width="9" customWidth="1" style="19" min="16" max="16"/>
    <col width="16" customWidth="1" style="19" min="17" max="17"/>
  </cols>
  <sheetData>
    <row r="1" ht="32" customHeight="1" s="19">
      <c r="A1" s="9" t="inlineStr">
        <is>
          <t>角色</t>
        </is>
      </c>
      <c r="B1" s="9" t="inlineStr">
        <is>
          <t>序号</t>
        </is>
      </c>
      <c r="C1" s="9" t="inlineStr">
        <is>
          <t>优先级</t>
        </is>
      </c>
      <c r="D1" s="9" t="inlineStr">
        <is>
          <t>Clip 命名</t>
        </is>
      </c>
      <c r="E1" s="9" t="inlineStr">
        <is>
          <t>动作</t>
        </is>
      </c>
      <c r="F1" s="9" t="inlineStr">
        <is>
          <t>帧数</t>
        </is>
      </c>
      <c r="G1" s="9" t="inlineStr">
        <is>
          <t>Samples</t>
        </is>
      </c>
      <c r="H1" s="9" t="inlineStr">
        <is>
          <t>循环</t>
        </is>
      </c>
      <c r="I1" s="9" t="inlineStr">
        <is>
          <t>时长(s)</t>
        </is>
      </c>
      <c r="J1" s="9" t="inlineStr">
        <is>
          <t>动画事件帧（Animation Event）</t>
        </is>
      </c>
      <c r="K1" s="9" t="inlineStr">
        <is>
          <t>用途 / 对应关卡</t>
        </is>
      </c>
      <c r="L1" s="9" t="inlineStr">
        <is>
          <t>精灵表路径</t>
        </is>
      </c>
      <c r="M1" s="9" t="inlineStr">
        <is>
          <t>Clip 路径</t>
        </is>
      </c>
      <c r="N1" s="9" t="inlineStr">
        <is>
          <t>画布尺寸</t>
        </is>
      </c>
      <c r="O1" s="9" t="inlineStr">
        <is>
          <t>制作状态</t>
        </is>
      </c>
      <c r="P1" s="9" t="inlineStr">
        <is>
          <t>验收状态</t>
        </is>
      </c>
      <c r="Q1" s="9" t="inlineStr">
        <is>
          <t>备注</t>
        </is>
      </c>
    </row>
    <row r="2" ht="34" customHeight="1" s="19">
      <c r="A2" s="10" t="inlineStr">
        <is>
          <t>主角 Player</t>
        </is>
      </c>
      <c r="B2" s="11" t="n">
        <v>1</v>
      </c>
      <c r="C2" s="12" t="inlineStr">
        <is>
          <t>P0</t>
        </is>
      </c>
      <c r="D2" s="10" t="inlineStr">
        <is>
          <t>Player_Idle</t>
        </is>
      </c>
      <c r="E2" s="10" t="inlineStr">
        <is>
          <t>待机呼吸</t>
        </is>
      </c>
      <c r="F2" s="11" t="n">
        <v>10</v>
      </c>
      <c r="G2" s="11" t="n">
        <v>12</v>
      </c>
      <c r="H2" s="10" t="inlineStr">
        <is>
          <t>是</t>
        </is>
      </c>
      <c r="I2" s="13">
        <f>IF(OR(F2="",G2=""),"",F2/G2)</f>
        <v/>
      </c>
      <c r="J2" s="10" t="inlineStr">
        <is>
          <t>帧3 呼吸顶点（可无事件）</t>
        </is>
      </c>
      <c r="K2" s="10" t="inlineStr">
        <is>
          <t>全关卡待机</t>
        </is>
      </c>
      <c r="L2" s="10" t="inlineStr">
        <is>
          <t>Assets/Art/Art/Player/Sheets/Player_Idle_sheet.png</t>
        </is>
      </c>
      <c r="M2" s="10" t="inlineStr">
        <is>
          <t>Assets/Animations/Player/Idle.anim</t>
        </is>
      </c>
      <c r="N2" s="10" t="inlineStr">
        <is>
          <t>1200×833</t>
        </is>
      </c>
      <c r="O2" s="10" t="inlineStr">
        <is>
          <t>已完成</t>
        </is>
      </c>
      <c r="P2" s="10" t="inlineStr">
        <is>
          <t>待验收</t>
        </is>
      </c>
      <c r="Q2" s="10" t="n"/>
    </row>
    <row r="3" ht="34" customHeight="1" s="19">
      <c r="A3" s="10" t="inlineStr">
        <is>
          <t>主角 Player</t>
        </is>
      </c>
      <c r="B3" s="11" t="n">
        <v>2</v>
      </c>
      <c r="C3" s="12" t="inlineStr">
        <is>
          <t>P0</t>
        </is>
      </c>
      <c r="D3" s="10" t="inlineStr">
        <is>
          <t>Player_Run</t>
        </is>
      </c>
      <c r="E3" s="10" t="inlineStr">
        <is>
          <t>奔跑</t>
        </is>
      </c>
      <c r="F3" s="11" t="n">
        <v>8</v>
      </c>
      <c r="G3" s="11" t="n">
        <v>24</v>
      </c>
      <c r="H3" s="10" t="inlineStr">
        <is>
          <t>是</t>
        </is>
      </c>
      <c r="I3" s="13">
        <f>IF(OR(F3="",G3=""),"",F3/G3)</f>
        <v/>
      </c>
      <c r="J3" s="10" t="inlineStr">
        <is>
          <t>帧1 Footstep（脚步音效+尘土）</t>
        </is>
      </c>
      <c r="K3" s="10" t="inlineStr">
        <is>
          <t>关卡1核心移动</t>
        </is>
      </c>
      <c r="L3" s="10" t="inlineStr">
        <is>
          <t>Assets/Art/Art/Player/Sheets/Player_Run_sheet.png</t>
        </is>
      </c>
      <c r="M3" s="10" t="inlineStr">
        <is>
          <t>Assets/Animations/Player/Run.anim</t>
        </is>
      </c>
      <c r="N3" s="10" t="inlineStr">
        <is>
          <t>1200×833</t>
        </is>
      </c>
      <c r="O3" s="10" t="inlineStr">
        <is>
          <t>已完成</t>
        </is>
      </c>
      <c r="P3" s="10" t="inlineStr">
        <is>
          <t>待验收</t>
        </is>
      </c>
      <c r="Q3" s="10" t="inlineStr">
        <is>
          <t>循环 0.33s，配 moveSpeed=4</t>
        </is>
      </c>
    </row>
    <row r="4" ht="34" customHeight="1" s="19">
      <c r="A4" s="10" t="inlineStr">
        <is>
          <t>主角 Player</t>
        </is>
      </c>
      <c r="B4" s="11" t="n">
        <v>3</v>
      </c>
      <c r="C4" s="12" t="inlineStr">
        <is>
          <t>P0</t>
        </is>
      </c>
      <c r="D4" s="10" t="inlineStr">
        <is>
          <t>Player_Jump</t>
        </is>
      </c>
      <c r="E4" s="10" t="inlineStr">
        <is>
          <t>起跳</t>
        </is>
      </c>
      <c r="F4" s="11" t="n">
        <v>3</v>
      </c>
      <c r="G4" s="11" t="n">
        <v>24</v>
      </c>
      <c r="H4" s="10" t="inlineStr">
        <is>
          <t>否</t>
        </is>
      </c>
      <c r="I4" s="13">
        <f>IF(OR(F4="",G4=""),"",F4/G4)</f>
        <v/>
      </c>
      <c r="J4" s="10" t="inlineStr">
        <is>
          <t>帧1 JumpFx（起跳音+尘土）</t>
        </is>
      </c>
      <c r="K4" s="10" t="inlineStr">
        <is>
          <t>跳跃</t>
        </is>
      </c>
      <c r="L4" s="10" t="inlineStr">
        <is>
          <t>Assets/Art/Art/Player/Sheets/Player_Jump_sheet.png</t>
        </is>
      </c>
      <c r="M4" s="10" t="inlineStr">
        <is>
          <t>Assets/Animations/Player/Jump.anim</t>
        </is>
      </c>
      <c r="N4" s="10" t="inlineStr">
        <is>
          <t>1200×833</t>
        </is>
      </c>
      <c r="O4" s="10" t="inlineStr">
        <is>
          <t>已完成</t>
        </is>
      </c>
      <c r="P4" s="10" t="inlineStr">
        <is>
          <t>待验收</t>
        </is>
      </c>
      <c r="Q4" s="10" t="n"/>
    </row>
    <row r="5" ht="34" customHeight="1" s="19">
      <c r="A5" s="10" t="inlineStr">
        <is>
          <t>主角 Player</t>
        </is>
      </c>
      <c r="B5" s="11" t="n">
        <v>4</v>
      </c>
      <c r="C5" s="12" t="inlineStr">
        <is>
          <t>P0</t>
        </is>
      </c>
      <c r="D5" s="10" t="inlineStr">
        <is>
          <t>Player_Fall</t>
        </is>
      </c>
      <c r="E5" s="10" t="inlineStr">
        <is>
          <t>空中下落</t>
        </is>
      </c>
      <c r="F5" s="11" t="n">
        <v>4</v>
      </c>
      <c r="G5" s="11" t="n">
        <v>12</v>
      </c>
      <c r="H5" s="10" t="inlineStr">
        <is>
          <t>是</t>
        </is>
      </c>
      <c r="I5" s="13">
        <f>IF(OR(F5="",G5=""),"",F5/G5)</f>
        <v/>
      </c>
      <c r="J5" s="10" t="inlineStr">
        <is>
          <t>无（空中姿态循环）</t>
        </is>
      </c>
      <c r="K5" s="10" t="inlineStr">
        <is>
          <t>平台跳跃</t>
        </is>
      </c>
      <c r="L5" s="10" t="inlineStr">
        <is>
          <t>Assets/Art/Art/Player/Sheets/Player_Fall_sheet.png</t>
        </is>
      </c>
      <c r="M5" s="10" t="inlineStr">
        <is>
          <t>Assets/Animations/Player/Fall.anim</t>
        </is>
      </c>
      <c r="N5" s="10" t="inlineStr">
        <is>
          <t>1200×833</t>
        </is>
      </c>
      <c r="O5" s="10" t="inlineStr">
        <is>
          <t>已完成</t>
        </is>
      </c>
      <c r="P5" s="10" t="inlineStr">
        <is>
          <t>待验收</t>
        </is>
      </c>
      <c r="Q5" s="10" t="n"/>
    </row>
    <row r="6" ht="34" customHeight="1" s="19">
      <c r="A6" s="10" t="inlineStr">
        <is>
          <t>主角 Player</t>
        </is>
      </c>
      <c r="B6" s="11" t="n">
        <v>5</v>
      </c>
      <c r="C6" s="12" t="inlineStr">
        <is>
          <t>P0</t>
        </is>
      </c>
      <c r="D6" s="10" t="inlineStr">
        <is>
          <t>Player_Land</t>
        </is>
      </c>
      <c r="E6" s="10" t="inlineStr">
        <is>
          <t>落地</t>
        </is>
      </c>
      <c r="F6" s="11" t="n">
        <v>3</v>
      </c>
      <c r="G6" s="11" t="n">
        <v>24</v>
      </c>
      <c r="H6" s="10" t="inlineStr">
        <is>
          <t>否</t>
        </is>
      </c>
      <c r="I6" s="13">
        <f>IF(OR(F6="",G6=""),"",F6/G6)</f>
        <v/>
      </c>
      <c r="J6" s="10" t="inlineStr">
        <is>
          <t>帧1 LandFx（落地音+尘土）</t>
        </is>
      </c>
      <c r="K6" s="10" t="inlineStr">
        <is>
          <t>落地缓冲</t>
        </is>
      </c>
      <c r="L6" s="10" t="inlineStr">
        <is>
          <t>Assets/Art/Art/Player/Sheets/Player_Land_sheet.png</t>
        </is>
      </c>
      <c r="M6" s="10" t="inlineStr">
        <is>
          <t>Assets/Animations/Player/Land.anim</t>
        </is>
      </c>
      <c r="N6" s="10" t="inlineStr">
        <is>
          <t>1200×833</t>
        </is>
      </c>
      <c r="O6" s="10" t="inlineStr">
        <is>
          <t>已完成</t>
        </is>
      </c>
      <c r="P6" s="10" t="inlineStr">
        <is>
          <t>待验收</t>
        </is>
      </c>
      <c r="Q6" s="10" t="n"/>
    </row>
    <row r="7" ht="34" customHeight="1" s="19">
      <c r="A7" s="10" t="inlineStr">
        <is>
          <t>主角 Player</t>
        </is>
      </c>
      <c r="B7" s="11" t="n">
        <v>6</v>
      </c>
      <c r="C7" s="12" t="inlineStr">
        <is>
          <t>P0</t>
        </is>
      </c>
      <c r="D7" s="10" t="inlineStr">
        <is>
          <t>Player_Attack01</t>
        </is>
      </c>
      <c r="E7" s="10" t="inlineStr">
        <is>
          <t>轻攻击一段</t>
        </is>
      </c>
      <c r="F7" s="11" t="n">
        <v>8</v>
      </c>
      <c r="G7" s="11" t="n">
        <v>24</v>
      </c>
      <c r="H7" s="10" t="inlineStr">
        <is>
          <t>否</t>
        </is>
      </c>
      <c r="I7" s="13">
        <f>IF(OR(F7="",G7=""),"",F7/G7)</f>
        <v/>
      </c>
      <c r="J7" s="10" t="inlineStr">
        <is>
          <t>帧2 HitOn（投掷）；帧8 HitOff</t>
        </is>
      </c>
      <c r="K7" s="10" t="inlineStr">
        <is>
          <t>关卡3 打机器人/BOSS</t>
        </is>
      </c>
      <c r="L7" s="10" t="inlineStr">
        <is>
          <t>Assets/Art/Art/Player/Sheets/Player_Attack01_sheet.png</t>
        </is>
      </c>
      <c r="M7" s="10" t="inlineStr">
        <is>
          <t>Assets/Animations/Player/Attack.anim</t>
        </is>
      </c>
      <c r="N7" s="10" t="inlineStr">
        <is>
          <t>1200×833</t>
        </is>
      </c>
      <c r="O7" s="10" t="inlineStr">
        <is>
          <t>已完成</t>
        </is>
      </c>
      <c r="P7" s="10" t="inlineStr">
        <is>
          <t>待验收</t>
        </is>
      </c>
      <c r="Q7" s="10" t="inlineStr">
        <is>
          <t>投掷机械爪+蓝光束回收；判定窗 0.04–0.29s</t>
        </is>
      </c>
    </row>
    <row r="8" ht="34" customHeight="1" s="19">
      <c r="A8" s="10" t="inlineStr">
        <is>
          <t>主角 Player</t>
        </is>
      </c>
      <c r="B8" s="11" t="n">
        <v>7</v>
      </c>
      <c r="C8" s="12" t="inlineStr">
        <is>
          <t>P0</t>
        </is>
      </c>
      <c r="D8" s="10" t="inlineStr">
        <is>
          <t>Player_Interact</t>
        </is>
      </c>
      <c r="E8" s="10" t="inlineStr">
        <is>
          <t>互动 / 拾取</t>
        </is>
      </c>
      <c r="F8" s="11" t="n">
        <v>6</v>
      </c>
      <c r="G8" s="11" t="n">
        <v>18</v>
      </c>
      <c r="H8" s="10" t="inlineStr">
        <is>
          <t>否</t>
        </is>
      </c>
      <c r="I8" s="13">
        <f>IF(OR(F8="",G8=""),"",F8/G8)</f>
        <v/>
      </c>
      <c r="J8" s="10" t="inlineStr">
        <is>
          <t>帧3 生效（拾取/清理/救援）；帧6 End</t>
        </is>
      </c>
      <c r="K8" s="10" t="inlineStr">
        <is>
          <t>捡净化装置、清垃圾、救动物</t>
        </is>
      </c>
      <c r="L8" s="10" t="inlineStr">
        <is>
          <t>Assets/Art/Art/Player/Sheets/Player_Interact_sheet.png</t>
        </is>
      </c>
      <c r="M8" s="10" t="inlineStr">
        <is>
          <t>Assets/Animations/Player/Interact.anim</t>
        </is>
      </c>
      <c r="N8" s="10" t="inlineStr">
        <is>
          <t>1200×833</t>
        </is>
      </c>
      <c r="O8" s="10" t="inlineStr">
        <is>
          <t>已完成</t>
        </is>
      </c>
      <c r="P8" s="10" t="inlineStr">
        <is>
          <t>待验收</t>
        </is>
      </c>
      <c r="Q8" s="10" t="n"/>
    </row>
    <row r="9" ht="34" customHeight="1" s="19">
      <c r="A9" s="10" t="inlineStr">
        <is>
          <t>主角 Player</t>
        </is>
      </c>
      <c r="B9" s="11" t="n">
        <v>8</v>
      </c>
      <c r="C9" s="12" t="inlineStr">
        <is>
          <t>P0</t>
        </is>
      </c>
      <c r="D9" s="10" t="inlineStr">
        <is>
          <t>Player_Hurt</t>
        </is>
      </c>
      <c r="E9" s="10" t="inlineStr">
        <is>
          <t>受击</t>
        </is>
      </c>
      <c r="F9" s="11" t="n">
        <v>3</v>
      </c>
      <c r="G9" s="11" t="n">
        <v>15</v>
      </c>
      <c r="H9" s="10" t="inlineStr">
        <is>
          <t>否</t>
        </is>
      </c>
      <c r="I9" s="13">
        <f>IF(OR(F9="",G9=""),"",F9/G9)</f>
        <v/>
      </c>
      <c r="J9" s="10" t="inlineStr">
        <is>
          <t>帧1 受击音+无敌开始；帧3 恢复控制</t>
        </is>
      </c>
      <c r="K9" s="10" t="inlineStr">
        <is>
          <t>被怪物/机关击中</t>
        </is>
      </c>
      <c r="L9" s="10" t="inlineStr">
        <is>
          <t>Assets/Art/Art/Player/Sheets/Player_Hurt_sheet.png</t>
        </is>
      </c>
      <c r="M9" s="10" t="inlineStr">
        <is>
          <t>Assets/Animations/Player/Hurt.anim</t>
        </is>
      </c>
      <c r="N9" s="10" t="inlineStr">
        <is>
          <t>1200×833</t>
        </is>
      </c>
      <c r="O9" s="10" t="inlineStr">
        <is>
          <t>已完成</t>
        </is>
      </c>
      <c r="P9" s="10" t="inlineStr">
        <is>
          <t>待验收</t>
        </is>
      </c>
      <c r="Q9" s="10" t="inlineStr">
        <is>
          <t>无敌时长≈0.2s</t>
        </is>
      </c>
    </row>
    <row r="10" ht="34" customHeight="1" s="19">
      <c r="A10" s="10" t="inlineStr">
        <is>
          <t>主角 Player</t>
        </is>
      </c>
      <c r="B10" s="11" t="n">
        <v>9</v>
      </c>
      <c r="C10" s="12" t="inlineStr">
        <is>
          <t>P0</t>
        </is>
      </c>
      <c r="D10" s="10" t="inlineStr">
        <is>
          <t>Player_Die</t>
        </is>
      </c>
      <c r="E10" s="10" t="inlineStr">
        <is>
          <t>死亡</t>
        </is>
      </c>
      <c r="F10" s="11" t="n">
        <v>8</v>
      </c>
      <c r="G10" s="11" t="n">
        <v>18</v>
      </c>
      <c r="H10" s="10" t="inlineStr">
        <is>
          <t>否</t>
        </is>
      </c>
      <c r="I10" s="13">
        <f>IF(OR(F10="",G10=""),"",F10/G10)</f>
        <v/>
      </c>
      <c r="J10" s="10" t="inlineStr">
        <is>
          <t>帧1 死亡音；帧7 DieEnd（弹结算）</t>
        </is>
      </c>
      <c r="K10" s="10" t="inlineStr">
        <is>
          <t>失败结算</t>
        </is>
      </c>
      <c r="L10" s="10" t="inlineStr">
        <is>
          <t>Assets/Art/Art/Player/Sheets/Player_Die_sheet.png</t>
        </is>
      </c>
      <c r="M10" s="10" t="inlineStr">
        <is>
          <t>Assets/Animations/Player/Death.anim</t>
        </is>
      </c>
      <c r="N10" s="10" t="inlineStr">
        <is>
          <t>1200×833</t>
        </is>
      </c>
      <c r="O10" s="10" t="inlineStr">
        <is>
          <t>已完成</t>
        </is>
      </c>
      <c r="P10" s="10" t="inlineStr">
        <is>
          <t>待验收</t>
        </is>
      </c>
      <c r="Q10" s="10" t="n"/>
    </row>
    <row r="11" ht="34" customHeight="1" s="19">
      <c r="A11" s="10" t="inlineStr">
        <is>
          <t>主角 Player</t>
        </is>
      </c>
      <c r="B11" s="11" t="n">
        <v>10</v>
      </c>
      <c r="C11" s="14" t="inlineStr">
        <is>
          <t>P1</t>
        </is>
      </c>
      <c r="D11" s="10" t="inlineStr">
        <is>
          <t>Player_Dash</t>
        </is>
      </c>
      <c r="E11" s="10" t="inlineStr">
        <is>
          <t>冲刺</t>
        </is>
      </c>
      <c r="F11" s="11" t="n">
        <v>6</v>
      </c>
      <c r="G11" s="11" t="n">
        <v>30</v>
      </c>
      <c r="H11" s="10" t="inlineStr">
        <is>
          <t>否</t>
        </is>
      </c>
      <c r="I11" s="13">
        <f>IF(OR(F11="",G11=""),"",F11/G11)</f>
        <v/>
      </c>
      <c r="J11" s="10" t="inlineStr">
        <is>
          <t>帧1 DashFx；帧1-5 无敌窗口</t>
        </is>
      </c>
      <c r="K11" s="10" t="inlineStr">
        <is>
          <t>快速位移 / 闪避</t>
        </is>
      </c>
      <c r="L11" s="10" t="inlineStr">
        <is>
          <t>Assets/Art/Art/Player/Sheets/Player_Dash_sheet.png</t>
        </is>
      </c>
      <c r="M11" s="10" t="inlineStr">
        <is>
          <t>Assets/Animations/Player/Dash.anim</t>
        </is>
      </c>
      <c r="N11" s="10" t="inlineStr">
        <is>
          <t>1200×833</t>
        </is>
      </c>
      <c r="O11" s="10" t="inlineStr">
        <is>
          <t>已完成</t>
        </is>
      </c>
      <c r="P11" s="10" t="inlineStr">
        <is>
          <t>待验收</t>
        </is>
      </c>
      <c r="Q11" s="10" t="n"/>
    </row>
    <row r="12" ht="34" customHeight="1" s="19">
      <c r="A12" s="10" t="inlineStr">
        <is>
          <t>主角 Player</t>
        </is>
      </c>
      <c r="B12" s="11" t="n">
        <v>11</v>
      </c>
      <c r="C12" s="14" t="inlineStr">
        <is>
          <t>P1</t>
        </is>
      </c>
      <c r="D12" s="10" t="inlineStr">
        <is>
          <t>Player_Roll</t>
        </is>
      </c>
      <c r="E12" s="10" t="inlineStr">
        <is>
          <t>翻滚</t>
        </is>
      </c>
      <c r="F12" s="11" t="n">
        <v>8</v>
      </c>
      <c r="G12" s="11" t="n">
        <v>24</v>
      </c>
      <c r="H12" s="10" t="inlineStr">
        <is>
          <t>否</t>
        </is>
      </c>
      <c r="I12" s="13">
        <f>IF(OR(F12="",G12=""),"",F12/G12)</f>
        <v/>
      </c>
      <c r="J12" s="10" t="inlineStr">
        <is>
          <t>帧2-6 无敌窗口（躲毒气/BOSS）</t>
        </is>
      </c>
      <c r="K12" s="10" t="inlineStr">
        <is>
          <t>关卡2/3 闪避</t>
        </is>
      </c>
      <c r="L12" s="10" t="inlineStr">
        <is>
          <t>Assets/Art/Art/Player/Sheets/Player_Roll_sheet.png</t>
        </is>
      </c>
      <c r="M12" s="10" t="inlineStr">
        <is>
          <t>Assets/Animations/Player/Roll.anim</t>
        </is>
      </c>
      <c r="N12" s="10" t="inlineStr">
        <is>
          <t>1200×833</t>
        </is>
      </c>
      <c r="O12" s="10" t="inlineStr">
        <is>
          <t>已完成</t>
        </is>
      </c>
      <c r="P12" s="10" t="inlineStr">
        <is>
          <t>待验收</t>
        </is>
      </c>
      <c r="Q12" s="10" t="n"/>
    </row>
    <row r="13" ht="34" customHeight="1" s="19">
      <c r="A13" s="10" t="inlineStr">
        <is>
          <t>主角 Player</t>
        </is>
      </c>
      <c r="B13" s="11" t="n">
        <v>12</v>
      </c>
      <c r="C13" s="14" t="inlineStr">
        <is>
          <t>P1</t>
        </is>
      </c>
      <c r="D13" s="10" t="inlineStr">
        <is>
          <t>Player_Attack02</t>
        </is>
      </c>
      <c r="E13" s="10" t="inlineStr">
        <is>
          <t>轻攻击二段</t>
        </is>
      </c>
      <c r="F13" s="11" t="n">
        <v>8</v>
      </c>
      <c r="G13" s="11" t="n">
        <v>24</v>
      </c>
      <c r="H13" s="10" t="inlineStr">
        <is>
          <t>否</t>
        </is>
      </c>
      <c r="I13" s="13">
        <f>IF(OR(F13="",G13=""),"",F13/G13)</f>
        <v/>
      </c>
      <c r="J13" s="10" t="inlineStr">
        <is>
          <t>帧3 HitOn；帧7 HitOff；帧8 End</t>
        </is>
      </c>
      <c r="K13" s="10" t="inlineStr">
        <is>
          <t>连击</t>
        </is>
      </c>
      <c r="L13" s="10" t="inlineStr">
        <is>
          <t>Assets/Art/Art/Player/Sheets/Player_Attack02_sheet.png</t>
        </is>
      </c>
      <c r="M13" s="10" t="inlineStr">
        <is>
          <t>Assets/Animations/Player/Attack02.anim</t>
        </is>
      </c>
      <c r="N13" s="10" t="inlineStr">
        <is>
          <t>1200×833</t>
        </is>
      </c>
      <c r="O13" s="10" t="inlineStr">
        <is>
          <t>已完成</t>
        </is>
      </c>
      <c r="P13" s="10" t="inlineStr">
        <is>
          <t>待验收</t>
        </is>
      </c>
      <c r="Q13" s="10" t="n"/>
    </row>
    <row r="14" ht="34" customHeight="1" s="19">
      <c r="A14" s="10" t="inlineStr">
        <is>
          <t>主角 Player</t>
        </is>
      </c>
      <c r="B14" s="11" t="n">
        <v>13</v>
      </c>
      <c r="C14" s="14" t="inlineStr">
        <is>
          <t>P1</t>
        </is>
      </c>
      <c r="D14" s="10" t="inlineStr">
        <is>
          <t>Player_Attack03</t>
        </is>
      </c>
      <c r="E14" s="10" t="inlineStr">
        <is>
          <t>轻攻击三段</t>
        </is>
      </c>
      <c r="F14" s="11" t="n">
        <v>9</v>
      </c>
      <c r="G14" s="11" t="n">
        <v>24</v>
      </c>
      <c r="H14" s="10" t="inlineStr">
        <is>
          <t>否</t>
        </is>
      </c>
      <c r="I14" s="13">
        <f>IF(OR(F14="",G14=""),"",F14/G14)</f>
        <v/>
      </c>
      <c r="J14" s="10" t="inlineStr">
        <is>
          <t>帧1 HitOn（0.0375s）；帧8 HitOff（0.31875s）</t>
        </is>
      </c>
      <c r="K14" s="10" t="inlineStr">
        <is>
          <t>连击收尾</t>
        </is>
      </c>
      <c r="L14" s="10" t="inlineStr">
        <is>
          <t>Assets/Art/Art/Player/Sheets/Player_Attack03_sheet.png</t>
        </is>
      </c>
      <c r="M14" s="10" t="inlineStr">
        <is>
          <t>Assets/Animations/Player/Attack03.anim</t>
        </is>
      </c>
      <c r="N14" s="10" t="inlineStr">
        <is>
          <t>1200×833</t>
        </is>
      </c>
      <c r="O14" s="10" t="inlineStr">
        <is>
          <t>已完成</t>
        </is>
      </c>
      <c r="P14" s="10" t="inlineStr">
        <is>
          <t>待验收</t>
        </is>
      </c>
      <c r="Q14" s="10" t="n"/>
    </row>
    <row r="15" ht="34" customHeight="1" s="19">
      <c r="A15" s="10" t="inlineStr">
        <is>
          <t>主角 Player</t>
        </is>
      </c>
      <c r="B15" s="11" t="n">
        <v>14</v>
      </c>
      <c r="C15" s="14" t="inlineStr">
        <is>
          <t>P1</t>
        </is>
      </c>
      <c r="D15" s="10" t="inlineStr">
        <is>
          <t>Player_AttackAir</t>
        </is>
      </c>
      <c r="E15" s="10" t="inlineStr">
        <is>
          <t>空中攻击</t>
        </is>
      </c>
      <c r="F15" s="11" t="n">
        <v>6</v>
      </c>
      <c r="G15" s="11" t="n">
        <v>24</v>
      </c>
      <c r="H15" s="10" t="inlineStr">
        <is>
          <t>否</t>
        </is>
      </c>
      <c r="I15" s="13">
        <f>IF(OR(F15="",G15=""),"",F15/G15)</f>
        <v/>
      </c>
      <c r="J15" s="10" t="inlineStr">
        <is>
          <t>帧3 HitOn；帧5 HitOff</t>
        </is>
      </c>
      <c r="K15" s="10" t="inlineStr">
        <is>
          <t>BOSS 战立体度</t>
        </is>
      </c>
      <c r="L15" s="10" t="inlineStr">
        <is>
          <t>Assets/Art/Art/Player/Sheets/Player_AttackAir_sheet.png</t>
        </is>
      </c>
      <c r="M15" s="10" t="inlineStr">
        <is>
          <t>Assets/Animations/Player/AttackAir.anim</t>
        </is>
      </c>
      <c r="N15" s="10" t="inlineStr">
        <is>
          <t>1200×833</t>
        </is>
      </c>
      <c r="O15" s="10" t="inlineStr">
        <is>
          <t>已完成</t>
        </is>
      </c>
      <c r="P15" s="10" t="inlineStr">
        <is>
          <t>待验收</t>
        </is>
      </c>
      <c r="Q15" s="10" t="n"/>
    </row>
    <row r="16" ht="34" customHeight="1" s="19">
      <c r="A16" s="10" t="inlineStr">
        <is>
          <t>主角 Player</t>
        </is>
      </c>
      <c r="B16" s="11" t="n">
        <v>15</v>
      </c>
      <c r="C16" s="14" t="inlineStr">
        <is>
          <t>P1</t>
        </is>
      </c>
      <c r="D16" s="10" t="inlineStr">
        <is>
          <t>Player_Victory</t>
        </is>
      </c>
      <c r="E16" s="10" t="inlineStr">
        <is>
          <t>过关庆祝</t>
        </is>
      </c>
      <c r="F16" s="11" t="n">
        <v>8</v>
      </c>
      <c r="G16" s="11" t="n">
        <v>15</v>
      </c>
      <c r="H16" s="10" t="inlineStr">
        <is>
          <t>是</t>
        </is>
      </c>
      <c r="I16" s="13">
        <f>IF(OR(F16="",G16=""),"",F16/G16)</f>
        <v/>
      </c>
      <c r="J16" s="10" t="inlineStr">
        <is>
          <t>帧1 胜利音（可选）</t>
        </is>
      </c>
      <c r="K16" s="10" t="inlineStr">
        <is>
          <t>过关结算 / 答辩演示</t>
        </is>
      </c>
      <c r="L16" s="10" t="inlineStr">
        <is>
          <t>Assets/Art/Art/Player/Sheets/Player_Victory_sheet.png</t>
        </is>
      </c>
      <c r="M16" s="10" t="inlineStr">
        <is>
          <t>Assets/Animations/Player/Victory.anim</t>
        </is>
      </c>
      <c r="N16" s="10" t="inlineStr">
        <is>
          <t>1200×833</t>
        </is>
      </c>
      <c r="O16" s="10" t="inlineStr">
        <is>
          <t>已完成</t>
        </is>
      </c>
      <c r="P16" s="10" t="inlineStr">
        <is>
          <t>待验收</t>
        </is>
      </c>
      <c r="Q16" s="10" t="n"/>
    </row>
    <row r="17" ht="34" customHeight="1" s="19">
      <c r="A17" s="10" t="inlineStr">
        <is>
          <t>主角 Player</t>
        </is>
      </c>
      <c r="B17" s="11" t="n">
        <v>16</v>
      </c>
      <c r="C17" s="14" t="inlineStr">
        <is>
          <t>P1</t>
        </is>
      </c>
      <c r="D17" s="10" t="inlineStr">
        <is>
          <t>Player_Turn</t>
        </is>
      </c>
      <c r="E17" s="10" t="inlineStr">
        <is>
          <t>转身过渡</t>
        </is>
      </c>
      <c r="F17" s="11" t="n">
        <v>1</v>
      </c>
      <c r="G17" s="11" t="n">
        <v>24</v>
      </c>
      <c r="H17" s="10" t="inlineStr">
        <is>
          <t>否</t>
        </is>
      </c>
      <c r="I17" s="13">
        <f>IF(OR(F17="",G17=""),"",F17/G17)</f>
        <v/>
      </c>
      <c r="J17" s="10" t="inlineStr">
        <is>
          <t>无；flipX 够顺可删除该动作</t>
        </is>
      </c>
      <c r="K17" s="10" t="inlineStr">
        <is>
          <t>转向</t>
        </is>
      </c>
      <c r="L17" s="10" t="inlineStr">
        <is>
          <t>Assets/Art/Art/Player/Sheets/Player_Turn_sheet.png</t>
        </is>
      </c>
      <c r="M17" s="10" t="inlineStr">
        <is>
          <t>Assets/Animations/Player/Turn.anim</t>
        </is>
      </c>
      <c r="N17" s="10" t="inlineStr">
        <is>
          <t>1200×833</t>
        </is>
      </c>
      <c r="O17" s="10" t="inlineStr">
        <is>
          <t>已完成</t>
        </is>
      </c>
      <c r="P17" s="10" t="inlineStr">
        <is>
          <t>待验收</t>
        </is>
      </c>
      <c r="Q17" s="10" t="inlineStr">
        <is>
          <t>可裁剪项</t>
        </is>
      </c>
    </row>
    <row r="18" ht="34" customHeight="1" s="19">
      <c r="A18" s="10" t="inlineStr">
        <is>
          <t>主角 Player</t>
        </is>
      </c>
      <c r="B18" s="11" t="n">
        <v>17</v>
      </c>
      <c r="C18" s="15" t="inlineStr">
        <is>
          <t>P2</t>
        </is>
      </c>
      <c r="D18" s="10" t="inlineStr">
        <is>
          <t>Player_WallSlide</t>
        </is>
      </c>
      <c r="E18" s="10" t="inlineStr">
        <is>
          <t>贴墙下滑</t>
        </is>
      </c>
      <c r="F18" s="11" t="n">
        <v>3</v>
      </c>
      <c r="G18" s="11" t="n">
        <v>12</v>
      </c>
      <c r="H18" s="10" t="inlineStr">
        <is>
          <t>是</t>
        </is>
      </c>
      <c r="I18" s="13">
        <f>IF(OR(F18="",G18=""),"",F18/G18)</f>
        <v/>
      </c>
      <c r="J18" s="10" t="inlineStr">
        <is>
          <t>无</t>
        </is>
      </c>
      <c r="K18" s="10" t="inlineStr">
        <is>
          <t>工厂关卡墙面</t>
        </is>
      </c>
      <c r="L18" s="10" t="inlineStr">
        <is>
          <t>Assets/Art/Art/Player/Sheets/Player_WallSlide_sheet.png</t>
        </is>
      </c>
      <c r="M18" s="10" t="inlineStr">
        <is>
          <t>Assets/Animations/Player/WallSlide.anim</t>
        </is>
      </c>
      <c r="N18" s="10" t="inlineStr">
        <is>
          <t>1200×833</t>
        </is>
      </c>
      <c r="O18" s="10" t="inlineStr">
        <is>
          <t>已完成</t>
        </is>
      </c>
      <c r="P18" s="10" t="inlineStr">
        <is>
          <t>待验收</t>
        </is>
      </c>
      <c r="Q18" s="10" t="n"/>
    </row>
    <row r="19" ht="34" customHeight="1" s="19">
      <c r="A19" s="10" t="inlineStr">
        <is>
          <t>主角 Player</t>
        </is>
      </c>
      <c r="B19" s="11" t="n">
        <v>18</v>
      </c>
      <c r="C19" s="15" t="inlineStr">
        <is>
          <t>P2</t>
        </is>
      </c>
      <c r="D19" s="10" t="inlineStr">
        <is>
          <t>Player_WallJump</t>
        </is>
      </c>
      <c r="E19" s="10" t="inlineStr">
        <is>
          <t>墙跳</t>
        </is>
      </c>
      <c r="F19" s="11" t="n">
        <v>3</v>
      </c>
      <c r="G19" s="11" t="n">
        <v>24</v>
      </c>
      <c r="H19" s="10" t="inlineStr">
        <is>
          <t>否</t>
        </is>
      </c>
      <c r="I19" s="13">
        <f>IF(OR(F19="",G19=""),"",F19/G19)</f>
        <v/>
      </c>
      <c r="J19" s="10" t="inlineStr">
        <is>
          <t>帧1 JumpFx</t>
        </is>
      </c>
      <c r="K19" s="10" t="inlineStr">
        <is>
          <t>工厂关卡</t>
        </is>
      </c>
      <c r="L19" s="10" t="inlineStr">
        <is>
          <t>Assets/Art/Art/Player/Sheets/Player_WallJump_sheet.png</t>
        </is>
      </c>
      <c r="M19" s="10" t="inlineStr">
        <is>
          <t>Assets/Animations/Player/WallJump.anim</t>
        </is>
      </c>
      <c r="N19" s="10" t="inlineStr">
        <is>
          <t>1200×833</t>
        </is>
      </c>
      <c r="O19" s="10" t="inlineStr">
        <is>
          <t>已完成</t>
        </is>
      </c>
      <c r="P19" s="10" t="inlineStr">
        <is>
          <t>待验收</t>
        </is>
      </c>
      <c r="Q19" s="10" t="n"/>
    </row>
    <row r="20" ht="34" customHeight="1" s="19">
      <c r="A20" s="10" t="inlineStr">
        <is>
          <t>主角 Player</t>
        </is>
      </c>
      <c r="B20" s="11" t="n">
        <v>19</v>
      </c>
      <c r="C20" s="15" t="inlineStr">
        <is>
          <t>P2</t>
        </is>
      </c>
      <c r="D20" s="10" t="inlineStr">
        <is>
          <t>Player_LedgeGrab</t>
        </is>
      </c>
      <c r="E20" s="10" t="inlineStr">
        <is>
          <t>抓边悬挂</t>
        </is>
      </c>
      <c r="F20" s="11" t="n">
        <v>3</v>
      </c>
      <c r="G20" s="11" t="n">
        <v>12</v>
      </c>
      <c r="H20" s="10" t="inlineStr">
        <is>
          <t>是</t>
        </is>
      </c>
      <c r="I20" s="13">
        <f>IF(OR(F20="",G20=""),"",F20/G20)</f>
        <v/>
      </c>
      <c r="J20" s="10" t="inlineStr">
        <is>
          <t>末帧 Hold</t>
        </is>
      </c>
      <c r="K20" s="10" t="inlineStr">
        <is>
          <t>平台边缘</t>
        </is>
      </c>
      <c r="L20" s="10" t="inlineStr">
        <is>
          <t>Assets/Art/Art/Player/Sheets/Player_LedgeGrab_sheet.png</t>
        </is>
      </c>
      <c r="M20" s="10" t="inlineStr">
        <is>
          <t>Assets/Animations/Player/LedgeGrab.anim</t>
        </is>
      </c>
      <c r="N20" s="10" t="inlineStr">
        <is>
          <t>1200×833</t>
        </is>
      </c>
      <c r="O20" s="10" t="inlineStr">
        <is>
          <t>已完成</t>
        </is>
      </c>
      <c r="P20" s="10" t="inlineStr">
        <is>
          <t>待验收</t>
        </is>
      </c>
      <c r="Q20" s="10" t="n"/>
    </row>
    <row r="21" ht="34" customHeight="1" s="19">
      <c r="A21" s="10" t="inlineStr">
        <is>
          <t>主角 Player</t>
        </is>
      </c>
      <c r="B21" s="11" t="n">
        <v>20</v>
      </c>
      <c r="C21" s="15" t="inlineStr">
        <is>
          <t>P2</t>
        </is>
      </c>
      <c r="D21" s="10" t="inlineStr">
        <is>
          <t>Player_Crouch</t>
        </is>
      </c>
      <c r="E21" s="10" t="inlineStr">
        <is>
          <t>下蹲</t>
        </is>
      </c>
      <c r="F21" s="11" t="n">
        <v>2</v>
      </c>
      <c r="G21" s="11" t="n">
        <v>15</v>
      </c>
      <c r="H21" s="10" t="inlineStr">
        <is>
          <t>否</t>
        </is>
      </c>
      <c r="I21" s="13">
        <f>IF(OR(F21="",G21=""),"",F21/G21)</f>
        <v/>
      </c>
      <c r="J21" s="10" t="inlineStr">
        <is>
          <t>帧2 Hold</t>
        </is>
      </c>
      <c r="K21" s="10" t="inlineStr">
        <is>
          <t>躲避/机关</t>
        </is>
      </c>
      <c r="L21" s="10" t="inlineStr">
        <is>
          <t>Assets/Art/Art/Player/Sheets/Player_Crouch_sheet.png</t>
        </is>
      </c>
      <c r="M21" s="10" t="inlineStr">
        <is>
          <t>Assets/Animations/Player/Crouch.anim</t>
        </is>
      </c>
      <c r="N21" s="10" t="inlineStr">
        <is>
          <t>1200×833</t>
        </is>
      </c>
      <c r="O21" s="10" t="inlineStr">
        <is>
          <t>已完成</t>
        </is>
      </c>
      <c r="P21" s="10" t="inlineStr">
        <is>
          <t>待验收</t>
        </is>
      </c>
      <c r="Q21" s="10" t="n"/>
    </row>
    <row r="22" ht="34" customHeight="1" s="19">
      <c r="A22" s="10" t="inlineStr">
        <is>
          <t>主角 Player</t>
        </is>
      </c>
      <c r="B22" s="11" t="n">
        <v>21</v>
      </c>
      <c r="C22" s="15" t="inlineStr">
        <is>
          <t>P2</t>
        </is>
      </c>
      <c r="D22" s="10" t="inlineStr">
        <is>
          <t>Player_Idle02</t>
        </is>
      </c>
      <c r="E22" s="10" t="inlineStr">
        <is>
          <t>长待机</t>
        </is>
      </c>
      <c r="F22" s="11" t="n">
        <v>8</v>
      </c>
      <c r="G22" s="11" t="n">
        <v>10</v>
      </c>
      <c r="H22" s="10" t="inlineStr">
        <is>
          <t>是</t>
        </is>
      </c>
      <c r="I22" s="13">
        <f>IF(OR(F22="",G22=""),"",F22/G22)</f>
        <v/>
      </c>
      <c r="J22" s="10" t="inlineStr">
        <is>
          <t>帧1 打哈欠音（可选）</t>
        </is>
      </c>
      <c r="K22" s="10" t="inlineStr">
        <is>
          <t>待机超时切换</t>
        </is>
      </c>
      <c r="L22" s="10" t="inlineStr">
        <is>
          <t>Assets/Art/Art/Player/Sheets/Player_Idle02_sheet.png</t>
        </is>
      </c>
      <c r="M22" s="10" t="inlineStr">
        <is>
          <t>Assets/Animations/Player/Idle02.anim</t>
        </is>
      </c>
      <c r="N22" s="10" t="inlineStr">
        <is>
          <t>1200×833</t>
        </is>
      </c>
      <c r="O22" s="10" t="inlineStr">
        <is>
          <t>已完成</t>
        </is>
      </c>
      <c r="P22" s="10" t="inlineStr">
        <is>
          <t>待验收</t>
        </is>
      </c>
      <c r="Q22" s="10" t="n"/>
    </row>
    <row r="23" ht="34" customHeight="1" s="19">
      <c r="A23" s="10" t="inlineStr">
        <is>
          <t>主角 Player</t>
        </is>
      </c>
      <c r="B23" s="11" t="n">
        <v>22</v>
      </c>
      <c r="C23" s="15" t="inlineStr">
        <is>
          <t>P2</t>
        </is>
      </c>
      <c r="D23" s="10" t="inlineStr">
        <is>
          <t>Player_HeavyAttack</t>
        </is>
      </c>
      <c r="E23" s="10" t="inlineStr">
        <is>
          <t>重击 / 蓄力</t>
        </is>
      </c>
      <c r="F23" s="11" t="n">
        <v>12</v>
      </c>
      <c r="G23" s="11" t="n">
        <v>24</v>
      </c>
      <c r="H23" s="10" t="inlineStr">
        <is>
          <t>否</t>
        </is>
      </c>
      <c r="I23" s="13">
        <f>IF(OR(F23="",G23=""),"",F23/G23)</f>
        <v/>
      </c>
      <c r="J23" s="10" t="inlineStr">
        <is>
          <t>帧1-8 蓄力；帧10-12 HitOn；帧18 End</t>
        </is>
      </c>
      <c r="K23" s="10" t="inlineStr">
        <is>
          <t>重型单位 / 机关</t>
        </is>
      </c>
      <c r="L23" s="10" t="inlineStr">
        <is>
          <t>Assets/Art/Art/Player/Sheets/Player_HeavyAttack_sheet.png</t>
        </is>
      </c>
      <c r="M23" s="10" t="inlineStr">
        <is>
          <t>Assets/Animations/Player/HeavyAttack.anim</t>
        </is>
      </c>
      <c r="N23" s="10" t="inlineStr">
        <is>
          <t>1200×833</t>
        </is>
      </c>
      <c r="O23" s="10" t="inlineStr">
        <is>
          <t>已完成</t>
        </is>
      </c>
      <c r="P23" s="10" t="inlineStr">
        <is>
          <t>待验收</t>
        </is>
      </c>
      <c r="Q23" s="10" t="n"/>
    </row>
  </sheetData>
  <autoFilter ref="A1:Q23"/>
  <dataValidations count="2">
    <dataValidation sqref="O2:O23" showDropDown="0" showInputMessage="0" showErrorMessage="0" allowBlank="1" type="list">
      <formula1>"未开始,制作中,已完成"</formula1>
    </dataValidation>
    <dataValidation sqref="P2:P23" showDropDown="0" showInputMessage="0" showErrorMessage="0" allowBlank="1" type="list">
      <formula1>"待验收,通过,返工"</formula1>
    </dataValidation>
  </dataValidations>
  <pageMargins left="0.3" right="0.3" top="0.4" bottom="0.4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0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"/>
  <cols>
    <col width="15" customWidth="1" style="19" min="1" max="1"/>
    <col width="6" customWidth="1" style="19" min="2" max="2"/>
    <col width="8" customWidth="1" style="19" min="3" max="3"/>
    <col width="20" customWidth="1" style="19" min="4" max="4"/>
    <col width="13" customWidth="1" style="19" min="5" max="5"/>
    <col width="7" customWidth="1" style="19" min="6" max="6"/>
    <col width="9" customWidth="1" style="19" min="7" max="7"/>
    <col width="7" customWidth="1" style="19" min="8" max="8"/>
    <col width="8" customWidth="1" style="19" min="9" max="9"/>
    <col width="36" customWidth="1" style="19" min="10" max="10"/>
    <col width="22" customWidth="1" style="19" min="11" max="11"/>
    <col width="34" customWidth="1" style="19" min="12" max="12"/>
    <col width="30" customWidth="1" style="19" min="13" max="13"/>
    <col width="11" customWidth="1" style="19" min="14" max="14"/>
    <col width="10" customWidth="1" style="19" min="15" max="15"/>
    <col width="9" customWidth="1" style="19" min="16" max="16"/>
    <col width="16" customWidth="1" style="19" min="17" max="17"/>
  </cols>
  <sheetData>
    <row r="1" ht="32" customHeight="1" s="19">
      <c r="A1" s="9" t="inlineStr">
        <is>
          <t>角色</t>
        </is>
      </c>
      <c r="B1" s="9" t="inlineStr">
        <is>
          <t>序号</t>
        </is>
      </c>
      <c r="C1" s="9" t="inlineStr">
        <is>
          <t>优先级</t>
        </is>
      </c>
      <c r="D1" s="9" t="inlineStr">
        <is>
          <t>Clip 命名</t>
        </is>
      </c>
      <c r="E1" s="9" t="inlineStr">
        <is>
          <t>动作</t>
        </is>
      </c>
      <c r="F1" s="9" t="inlineStr">
        <is>
          <t>帧数</t>
        </is>
      </c>
      <c r="G1" s="9" t="inlineStr">
        <is>
          <t>Samples</t>
        </is>
      </c>
      <c r="H1" s="9" t="inlineStr">
        <is>
          <t>循环</t>
        </is>
      </c>
      <c r="I1" s="9" t="inlineStr">
        <is>
          <t>时长(s)</t>
        </is>
      </c>
      <c r="J1" s="9" t="inlineStr">
        <is>
          <t>动画事件帧（Animation Event）</t>
        </is>
      </c>
      <c r="K1" s="9" t="inlineStr">
        <is>
          <t>用途 / 对应关卡</t>
        </is>
      </c>
      <c r="L1" s="9" t="inlineStr">
        <is>
          <t>精灵表路径</t>
        </is>
      </c>
      <c r="M1" s="9" t="inlineStr">
        <is>
          <t>Clip 路径</t>
        </is>
      </c>
      <c r="N1" s="9" t="inlineStr">
        <is>
          <t>画布尺寸</t>
        </is>
      </c>
      <c r="O1" s="9" t="inlineStr">
        <is>
          <t>制作状态</t>
        </is>
      </c>
      <c r="P1" s="9" t="inlineStr">
        <is>
          <t>验收状态</t>
        </is>
      </c>
      <c r="Q1" s="9" t="inlineStr">
        <is>
          <t>备注</t>
        </is>
      </c>
    </row>
    <row r="2" ht="34" customHeight="1" s="19">
      <c r="A2" s="10" t="inlineStr">
        <is>
          <t>污染生物 Enemy01</t>
        </is>
      </c>
      <c r="B2" s="11" t="n">
        <v>1</v>
      </c>
      <c r="C2" s="12" t="inlineStr">
        <is>
          <t>P0</t>
        </is>
      </c>
      <c r="D2" s="10" t="inlineStr">
        <is>
          <t>Enemy01_Idle</t>
        </is>
      </c>
      <c r="E2" s="10" t="inlineStr">
        <is>
          <t>待机</t>
        </is>
      </c>
      <c r="F2" s="11" t="n">
        <v>4</v>
      </c>
      <c r="G2" s="11" t="n">
        <v>12</v>
      </c>
      <c r="H2" s="10" t="inlineStr">
        <is>
          <t>是</t>
        </is>
      </c>
      <c r="I2" s="13">
        <f>IF(OR(F2="",G2=""),"",F2/G2)</f>
        <v/>
      </c>
      <c r="J2" s="10" t="inlineStr">
        <is>
          <t>无</t>
        </is>
      </c>
      <c r="K2" s="10" t="inlineStr">
        <is>
          <t>关卡1 低级怪</t>
        </is>
      </c>
      <c r="L2" s="10" t="inlineStr">
        <is>
          <t>Assets/Art/Enemies/Enemy01/Sheets/Enemy01_Idle_sheet.png</t>
        </is>
      </c>
      <c r="M2" s="10" t="inlineStr">
        <is>
          <t>Assets/Animations/Enemies/Enemy01_Idle.anim</t>
        </is>
      </c>
      <c r="N2" s="10" t="inlineStr">
        <is>
          <t>1312×872</t>
        </is>
      </c>
      <c r="O2" s="10" t="inlineStr">
        <is>
          <t>已完成</t>
        </is>
      </c>
      <c r="P2" s="10" t="inlineStr">
        <is>
          <t>待验收</t>
        </is>
      </c>
      <c r="Q2" s="10" t="n"/>
    </row>
    <row r="3" ht="34" customHeight="1" s="19">
      <c r="A3" s="10" t="inlineStr">
        <is>
          <t>污染生物 Enemy01</t>
        </is>
      </c>
      <c r="B3" s="11" t="n">
        <v>2</v>
      </c>
      <c r="C3" s="12" t="inlineStr">
        <is>
          <t>P0</t>
        </is>
      </c>
      <c r="D3" s="10" t="inlineStr">
        <is>
          <t>Enemy01_Move</t>
        </is>
      </c>
      <c r="E3" s="10" t="inlineStr">
        <is>
          <t>缓慢移动</t>
        </is>
      </c>
      <c r="F3" s="11" t="n">
        <v>6</v>
      </c>
      <c r="G3" s="11" t="n">
        <v>10</v>
      </c>
      <c r="H3" s="10" t="inlineStr">
        <is>
          <t>是</t>
        </is>
      </c>
      <c r="I3" s="13">
        <f>IF(OR(F3="",G3=""),"",F3/G3)</f>
        <v/>
      </c>
      <c r="J3" s="10" t="inlineStr">
        <is>
          <t>帧1/帧4 爬行音（可选）</t>
        </is>
      </c>
      <c r="K3" s="10" t="inlineStr">
        <is>
          <t>关卡1 巡逻</t>
        </is>
      </c>
      <c r="L3" s="10" t="inlineStr">
        <is>
          <t>Assets/Art/Enemies/Enemy01/Sheets/Enemy01_Move_sheet.png</t>
        </is>
      </c>
      <c r="M3" s="10" t="inlineStr">
        <is>
          <t>Assets/Animations/Enemies/Enemy01_Move.anim</t>
        </is>
      </c>
      <c r="N3" s="10" t="inlineStr">
        <is>
          <t>1312×872</t>
        </is>
      </c>
      <c r="O3" s="10" t="inlineStr">
        <is>
          <t>已完成</t>
        </is>
      </c>
      <c r="P3" s="10" t="inlineStr">
        <is>
          <t>待验收</t>
        </is>
      </c>
      <c r="Q3" s="10" t="n"/>
    </row>
    <row r="4" ht="34" customHeight="1" s="19">
      <c r="A4" s="10" t="inlineStr">
        <is>
          <t>污染生物 Enemy01</t>
        </is>
      </c>
      <c r="B4" s="11" t="n">
        <v>3</v>
      </c>
      <c r="C4" s="12" t="inlineStr">
        <is>
          <t>P0</t>
        </is>
      </c>
      <c r="D4" s="10" t="inlineStr">
        <is>
          <t>Enemy01_Attack</t>
        </is>
      </c>
      <c r="E4" s="10" t="inlineStr">
        <is>
          <t>攻击</t>
        </is>
      </c>
      <c r="F4" s="11" t="n">
        <v>4</v>
      </c>
      <c r="G4" s="11" t="n">
        <v>15</v>
      </c>
      <c r="H4" s="10" t="inlineStr">
        <is>
          <t>否</t>
        </is>
      </c>
      <c r="I4" s="13">
        <f>IF(OR(F4="",G4=""),"",F4/G4)</f>
        <v/>
      </c>
      <c r="J4" s="10" t="inlineStr">
        <is>
          <t>帧3 HitOn；帧4 HitOff</t>
        </is>
      </c>
      <c r="K4" s="10" t="inlineStr">
        <is>
          <t>关卡1</t>
        </is>
      </c>
      <c r="L4" s="10" t="inlineStr">
        <is>
          <t>Assets/Art/Enemies/Enemy01/Sheets/Enemy01_Attack_sheet.png</t>
        </is>
      </c>
      <c r="M4" s="10" t="inlineStr">
        <is>
          <t>Assets/Animations/Enemies/Enemy01_Attack.anim</t>
        </is>
      </c>
      <c r="N4" s="10" t="inlineStr">
        <is>
          <t>1312×872</t>
        </is>
      </c>
      <c r="O4" s="10" t="inlineStr">
        <is>
          <t>已完成</t>
        </is>
      </c>
      <c r="P4" s="10" t="inlineStr">
        <is>
          <t>待验收</t>
        </is>
      </c>
      <c r="Q4" s="10" t="n"/>
    </row>
    <row r="5" ht="34" customHeight="1" s="19">
      <c r="A5" s="10" t="inlineStr">
        <is>
          <t>污染生物 Enemy01</t>
        </is>
      </c>
      <c r="B5" s="11" t="n">
        <v>4</v>
      </c>
      <c r="C5" s="12" t="inlineStr">
        <is>
          <t>P0</t>
        </is>
      </c>
      <c r="D5" s="10" t="inlineStr">
        <is>
          <t>Enemy01_Hurt</t>
        </is>
      </c>
      <c r="E5" s="10" t="inlineStr">
        <is>
          <t>受击</t>
        </is>
      </c>
      <c r="F5" s="11" t="n">
        <v>2</v>
      </c>
      <c r="G5" s="11" t="n">
        <v>15</v>
      </c>
      <c r="H5" s="10" t="inlineStr">
        <is>
          <t>否</t>
        </is>
      </c>
      <c r="I5" s="13">
        <f>IF(OR(F5="",G5=""),"",F5/G5)</f>
        <v/>
      </c>
      <c r="J5" s="10" t="inlineStr">
        <is>
          <t>帧1 受击音</t>
        </is>
      </c>
      <c r="K5" s="10" t="inlineStr">
        <is>
          <t>关卡1</t>
        </is>
      </c>
      <c r="L5" s="10" t="inlineStr">
        <is>
          <t>Assets/Art/Enemies/Enemy01/Sheets/Enemy01_Hurt_sheet.png</t>
        </is>
      </c>
      <c r="M5" s="10" t="inlineStr">
        <is>
          <t>Assets/Animations/Enemies/Enemy01_Hurt.anim</t>
        </is>
      </c>
      <c r="N5" s="10" t="inlineStr">
        <is>
          <t>1312×872</t>
        </is>
      </c>
      <c r="O5" s="10" t="inlineStr">
        <is>
          <t>已完成</t>
        </is>
      </c>
      <c r="P5" s="10" t="inlineStr">
        <is>
          <t>待验收</t>
        </is>
      </c>
      <c r="Q5" s="10" t="n"/>
    </row>
    <row r="6" ht="34" customHeight="1" s="19">
      <c r="A6" s="10" t="inlineStr">
        <is>
          <t>污染生物 Enemy01</t>
        </is>
      </c>
      <c r="B6" s="11" t="n">
        <v>5</v>
      </c>
      <c r="C6" s="12" t="inlineStr">
        <is>
          <t>P0</t>
        </is>
      </c>
      <c r="D6" s="10" t="inlineStr">
        <is>
          <t>Enemy01_Die</t>
        </is>
      </c>
      <c r="E6" s="10" t="inlineStr">
        <is>
          <t>死亡</t>
        </is>
      </c>
      <c r="F6" s="11" t="n">
        <v>6</v>
      </c>
      <c r="G6" s="11" t="n">
        <v>15</v>
      </c>
      <c r="H6" s="10" t="inlineStr">
        <is>
          <t>否</t>
        </is>
      </c>
      <c r="I6" s="13">
        <f>IF(OR(F6="",G6=""),"",F6/G6)</f>
        <v/>
      </c>
      <c r="J6" s="10" t="inlineStr">
        <is>
          <t>帧1 死亡音；帧6 移除+掉落</t>
        </is>
      </c>
      <c r="K6" s="10" t="inlineStr">
        <is>
          <t>关卡1</t>
        </is>
      </c>
      <c r="L6" s="10" t="inlineStr">
        <is>
          <t>Assets/Art/Enemies/Enemy01/Sheets/Enemy01_Die_sheet.png</t>
        </is>
      </c>
      <c r="M6" s="10" t="inlineStr">
        <is>
          <t>Assets/Animations/Enemies/Enemy01_Die.anim</t>
        </is>
      </c>
      <c r="N6" s="10" t="inlineStr">
        <is>
          <t>1312×872</t>
        </is>
      </c>
      <c r="O6" s="10" t="inlineStr">
        <is>
          <t>已完成</t>
        </is>
      </c>
      <c r="P6" s="10" t="inlineStr">
        <is>
          <t>待验收</t>
        </is>
      </c>
      <c r="Q6" s="10" t="n"/>
    </row>
    <row r="7" ht="34" customHeight="1" s="19">
      <c r="A7" s="10" t="inlineStr">
        <is>
          <t>变异生物 Enemy02</t>
        </is>
      </c>
      <c r="B7" s="11" t="n">
        <v>6</v>
      </c>
      <c r="C7" s="12" t="inlineStr">
        <is>
          <t>P0</t>
        </is>
      </c>
      <c r="D7" s="10" t="inlineStr">
        <is>
          <t>Enemy02_Idle</t>
        </is>
      </c>
      <c r="E7" s="10" t="inlineStr">
        <is>
          <t>待机</t>
        </is>
      </c>
      <c r="F7" s="11" t="n">
        <v>4</v>
      </c>
      <c r="G7" s="11" t="n">
        <v>12</v>
      </c>
      <c r="H7" s="10" t="inlineStr">
        <is>
          <t>是</t>
        </is>
      </c>
      <c r="I7" s="13">
        <f>IF(OR(F7="",G7=""),"",F7/G7)</f>
        <v/>
      </c>
      <c r="J7" s="10" t="inlineStr">
        <is>
          <t>无</t>
        </is>
      </c>
      <c r="K7" s="10" t="inlineStr">
        <is>
          <t>关卡2</t>
        </is>
      </c>
      <c r="L7" s="10" t="inlineStr">
        <is>
          <t>Assets/Art/Enemies/Enemy02/Sheets/Enemy02_Idle_sheet.png</t>
        </is>
      </c>
      <c r="M7" s="10" t="inlineStr">
        <is>
          <t>Assets/Animations/Enemies/Enemy02_Idle.anim</t>
        </is>
      </c>
      <c r="N7" s="10" t="inlineStr">
        <is>
          <t>1397×1247</t>
        </is>
      </c>
      <c r="O7" s="10" t="inlineStr">
        <is>
          <t>已完成</t>
        </is>
      </c>
      <c r="P7" s="10" t="inlineStr">
        <is>
          <t>待验收</t>
        </is>
      </c>
      <c r="Q7" s="10" t="n"/>
    </row>
    <row r="8" ht="34" customHeight="1" s="19">
      <c r="A8" s="10" t="inlineStr">
        <is>
          <t>变异生物 Enemy02</t>
        </is>
      </c>
      <c r="B8" s="11" t="n">
        <v>7</v>
      </c>
      <c r="C8" s="12" t="inlineStr">
        <is>
          <t>P0</t>
        </is>
      </c>
      <c r="D8" s="10" t="inlineStr">
        <is>
          <t>Enemy02_Move</t>
        </is>
      </c>
      <c r="E8" s="10" t="inlineStr">
        <is>
          <t>快速移动</t>
        </is>
      </c>
      <c r="F8" s="11" t="n">
        <v>8</v>
      </c>
      <c r="G8" s="11" t="n">
        <v>15</v>
      </c>
      <c r="H8" s="10" t="inlineStr">
        <is>
          <t>是</t>
        </is>
      </c>
      <c r="I8" s="13">
        <f>IF(OR(F8="",G8=""),"",F8/G8)</f>
        <v/>
      </c>
      <c r="J8" s="10" t="inlineStr">
        <is>
          <t>帧1/帧5 脚步（可选）</t>
        </is>
      </c>
      <c r="K8" s="10" t="inlineStr">
        <is>
          <t>关卡2 追击</t>
        </is>
      </c>
      <c r="L8" s="10" t="inlineStr">
        <is>
          <t>Assets/Art/Enemies/Enemy02/Sheets/Enemy02_Move_sheet.png</t>
        </is>
      </c>
      <c r="M8" s="10" t="inlineStr">
        <is>
          <t>Assets/Animations/Enemies/Enemy02_Move.anim</t>
        </is>
      </c>
      <c r="N8" s="10" t="inlineStr">
        <is>
          <t>1397×1247</t>
        </is>
      </c>
      <c r="O8" s="10" t="inlineStr">
        <is>
          <t>已完成</t>
        </is>
      </c>
      <c r="P8" s="10" t="inlineStr">
        <is>
          <t>待验收</t>
        </is>
      </c>
      <c r="Q8" s="10" t="n"/>
    </row>
    <row r="9" ht="34" customHeight="1" s="19">
      <c r="A9" s="10" t="inlineStr">
        <is>
          <t>变异生物 Enemy02</t>
        </is>
      </c>
      <c r="B9" s="11" t="n">
        <v>8</v>
      </c>
      <c r="C9" s="12" t="inlineStr">
        <is>
          <t>P0</t>
        </is>
      </c>
      <c r="D9" s="10" t="inlineStr">
        <is>
          <t>Enemy02_Attack</t>
        </is>
      </c>
      <c r="E9" s="10" t="inlineStr">
        <is>
          <t>扑击</t>
        </is>
      </c>
      <c r="F9" s="11" t="n">
        <v>6</v>
      </c>
      <c r="G9" s="11" t="n">
        <v>18</v>
      </c>
      <c r="H9" s="10" t="inlineStr">
        <is>
          <t>否</t>
        </is>
      </c>
      <c r="I9" s="13">
        <f>IF(OR(F9="",G9=""),"",F9/G9)</f>
        <v/>
      </c>
      <c r="J9" s="10" t="inlineStr">
        <is>
          <t>帧4 HitOn；帧5 HitOff</t>
        </is>
      </c>
      <c r="K9" s="10" t="inlineStr">
        <is>
          <t>关卡2 有毒植物/变异生物</t>
        </is>
      </c>
      <c r="L9" s="10" t="inlineStr">
        <is>
          <t>Assets/Art/Enemies/Enemy02/Sheets/Enemy02_Attack_sheet.png</t>
        </is>
      </c>
      <c r="M9" s="10" t="inlineStr">
        <is>
          <t>Assets/Animations/Enemies/Enemy02_Attack.anim</t>
        </is>
      </c>
      <c r="N9" s="10" t="inlineStr">
        <is>
          <t>1397×1247</t>
        </is>
      </c>
      <c r="O9" s="10" t="inlineStr">
        <is>
          <t>已完成</t>
        </is>
      </c>
      <c r="P9" s="10" t="inlineStr">
        <is>
          <t>待验收</t>
        </is>
      </c>
      <c r="Q9" s="10" t="n"/>
    </row>
    <row r="10" ht="34" customHeight="1" s="19">
      <c r="A10" s="10" t="inlineStr">
        <is>
          <t>变异生物 Enemy02</t>
        </is>
      </c>
      <c r="B10" s="11" t="n">
        <v>9</v>
      </c>
      <c r="C10" s="12" t="inlineStr">
        <is>
          <t>P0</t>
        </is>
      </c>
      <c r="D10" s="10" t="inlineStr">
        <is>
          <t>Enemy02_Hurt</t>
        </is>
      </c>
      <c r="E10" s="10" t="inlineStr">
        <is>
          <t>受击</t>
        </is>
      </c>
      <c r="F10" s="11" t="n">
        <v>2</v>
      </c>
      <c r="G10" s="11" t="n">
        <v>20</v>
      </c>
      <c r="H10" s="10" t="inlineStr">
        <is>
          <t>否</t>
        </is>
      </c>
      <c r="I10" s="13">
        <f>IF(OR(F10="",G10=""),"",F10/G10)</f>
        <v/>
      </c>
      <c r="J10" s="10" t="inlineStr">
        <is>
          <t>帧1 受击音</t>
        </is>
      </c>
      <c r="K10" s="10" t="inlineStr">
        <is>
          <t>关卡2</t>
        </is>
      </c>
      <c r="L10" s="10" t="inlineStr">
        <is>
          <t>Assets/Art/Enemies/Enemy02/Sheets/Enemy02_Hurt_sheet.png</t>
        </is>
      </c>
      <c r="M10" s="10" t="inlineStr">
        <is>
          <t>Assets/Animations/Enemies/Enemy02_Hurt.anim</t>
        </is>
      </c>
      <c r="N10" s="10" t="inlineStr">
        <is>
          <t>1397×1247</t>
        </is>
      </c>
      <c r="O10" s="10" t="inlineStr">
        <is>
          <t>已完成</t>
        </is>
      </c>
      <c r="P10" s="10" t="inlineStr">
        <is>
          <t>待验收</t>
        </is>
      </c>
      <c r="Q10" s="10" t="n"/>
    </row>
    <row r="11" ht="34" customHeight="1" s="19">
      <c r="A11" s="10" t="inlineStr">
        <is>
          <t>变异生物 Enemy02</t>
        </is>
      </c>
      <c r="B11" s="11" t="n">
        <v>10</v>
      </c>
      <c r="C11" s="12" t="inlineStr">
        <is>
          <t>P0</t>
        </is>
      </c>
      <c r="D11" s="10" t="inlineStr">
        <is>
          <t>Enemy02_Die</t>
        </is>
      </c>
      <c r="E11" s="10" t="inlineStr">
        <is>
          <t>死亡</t>
        </is>
      </c>
      <c r="F11" s="11" t="n">
        <v>8</v>
      </c>
      <c r="G11" s="11" t="n">
        <v>15</v>
      </c>
      <c r="H11" s="10" t="inlineStr">
        <is>
          <t>否</t>
        </is>
      </c>
      <c r="I11" s="13">
        <f>IF(OR(F11="",G11=""),"",F11/G11)</f>
        <v/>
      </c>
      <c r="J11" s="10" t="inlineStr">
        <is>
          <t>帧1 死亡音；帧8 移除+掉落</t>
        </is>
      </c>
      <c r="K11" s="10" t="inlineStr">
        <is>
          <t>关卡2</t>
        </is>
      </c>
      <c r="L11" s="10" t="inlineStr">
        <is>
          <t>Assets/Art/Enemies/Enemy02/Sheets/Enemy02_Die_sheet.png</t>
        </is>
      </c>
      <c r="M11" s="10" t="inlineStr">
        <is>
          <t>Assets/Animations/Enemies/Enemy02_Die.anim</t>
        </is>
      </c>
      <c r="N11" s="10" t="inlineStr">
        <is>
          <t>1397×1247</t>
        </is>
      </c>
      <c r="O11" s="10" t="inlineStr">
        <is>
          <t>已完成</t>
        </is>
      </c>
      <c r="P11" s="10" t="inlineStr">
        <is>
          <t>待验收</t>
        </is>
      </c>
      <c r="Q11" s="10" t="n"/>
    </row>
    <row r="12" ht="34" customHeight="1" s="19">
      <c r="A12" s="10" t="inlineStr">
        <is>
          <t>巡逻机器人 Enemy03</t>
        </is>
      </c>
      <c r="B12" s="11" t="n">
        <v>11</v>
      </c>
      <c r="C12" s="14" t="inlineStr">
        <is>
          <t>P1</t>
        </is>
      </c>
      <c r="D12" s="10" t="inlineStr">
        <is>
          <t>Enemy03_Spawn</t>
        </is>
      </c>
      <c r="E12" s="10" t="inlineStr">
        <is>
          <t>出场启动</t>
        </is>
      </c>
      <c r="F12" s="11" t="n">
        <v>4</v>
      </c>
      <c r="G12" s="11" t="n">
        <v>24</v>
      </c>
      <c r="H12" s="10" t="inlineStr">
        <is>
          <t>否</t>
        </is>
      </c>
      <c r="I12" s="13">
        <f>IF(OR(F12="",G12=""),"",F12/G12)</f>
        <v/>
      </c>
      <c r="J12" s="10" t="inlineStr">
        <is>
          <t>帧1 开机音</t>
        </is>
      </c>
      <c r="K12" s="10" t="inlineStr">
        <is>
          <t>关卡3 生成</t>
        </is>
      </c>
      <c r="L12" s="10" t="inlineStr">
        <is>
          <t>Assets/Art/Enemies/Enemy03/Sheets/Enemy03_Spawn_sheet.png</t>
        </is>
      </c>
      <c r="M12" s="10" t="inlineStr">
        <is>
          <t>Assets/Animations/Enemies/Enemy03_Spawn.anim</t>
        </is>
      </c>
      <c r="N12" s="10" t="inlineStr">
        <is>
          <t>993×1124</t>
        </is>
      </c>
      <c r="O12" s="10" t="inlineStr">
        <is>
          <t>已完成</t>
        </is>
      </c>
      <c r="P12" s="10" t="inlineStr">
        <is>
          <t>待验收</t>
        </is>
      </c>
      <c r="Q12" s="10" t="n"/>
    </row>
    <row r="13" ht="34" customHeight="1" s="19">
      <c r="A13" s="10" t="inlineStr">
        <is>
          <t>巡逻机器人 Enemy03</t>
        </is>
      </c>
      <c r="B13" s="11" t="n">
        <v>12</v>
      </c>
      <c r="C13" s="12" t="inlineStr">
        <is>
          <t>P0</t>
        </is>
      </c>
      <c r="D13" s="10" t="inlineStr">
        <is>
          <t>Enemy03_Idle</t>
        </is>
      </c>
      <c r="E13" s="10" t="inlineStr">
        <is>
          <t>巡逻待机</t>
        </is>
      </c>
      <c r="F13" s="11" t="n">
        <v>4</v>
      </c>
      <c r="G13" s="11" t="n">
        <v>12</v>
      </c>
      <c r="H13" s="10" t="inlineStr">
        <is>
          <t>是</t>
        </is>
      </c>
      <c r="I13" s="13">
        <f>IF(OR(F13="",G13=""),"",F13/G13)</f>
        <v/>
      </c>
      <c r="J13" s="10" t="inlineStr">
        <is>
          <t>无</t>
        </is>
      </c>
      <c r="K13" s="10" t="inlineStr">
        <is>
          <t>关卡3</t>
        </is>
      </c>
      <c r="L13" s="10" t="inlineStr">
        <is>
          <t>Assets/Art/Enemies/Enemy03/Sheets/Enemy03_Idle_sheet.png</t>
        </is>
      </c>
      <c r="M13" s="10" t="inlineStr">
        <is>
          <t>Assets/Animations/Enemies/Enemy03_Idle.anim</t>
        </is>
      </c>
      <c r="N13" s="10" t="inlineStr">
        <is>
          <t>993×1124</t>
        </is>
      </c>
      <c r="O13" s="10" t="inlineStr">
        <is>
          <t>已完成</t>
        </is>
      </c>
      <c r="P13" s="10" t="inlineStr">
        <is>
          <t>待验收</t>
        </is>
      </c>
      <c r="Q13" s="10" t="n"/>
    </row>
    <row r="14" ht="34" customHeight="1" s="19">
      <c r="A14" s="10" t="inlineStr">
        <is>
          <t>巡逻机器人 Enemy03</t>
        </is>
      </c>
      <c r="B14" s="11" t="n">
        <v>13</v>
      </c>
      <c r="C14" s="12" t="inlineStr">
        <is>
          <t>P0</t>
        </is>
      </c>
      <c r="D14" s="10" t="inlineStr">
        <is>
          <t>Enemy03_Chase</t>
        </is>
      </c>
      <c r="E14" s="10" t="inlineStr">
        <is>
          <t>追击</t>
        </is>
      </c>
      <c r="F14" s="11" t="n">
        <v>8</v>
      </c>
      <c r="G14" s="11" t="n">
        <v>18</v>
      </c>
      <c r="H14" s="10" t="inlineStr">
        <is>
          <t>是</t>
        </is>
      </c>
      <c r="I14" s="13">
        <f>IF(OR(F14="",G14=""),"",F14/G14)</f>
        <v/>
      </c>
      <c r="J14" s="10" t="inlineStr">
        <is>
          <t>帧2 警报音（循环内一次）</t>
        </is>
      </c>
      <c r="K14" s="10" t="inlineStr">
        <is>
          <t>关卡3 主动追踪</t>
        </is>
      </c>
      <c r="L14" s="10" t="inlineStr">
        <is>
          <t>Assets/Art/Enemies/Enemy03/Sheets/Enemy03_Chase_sheet.png</t>
        </is>
      </c>
      <c r="M14" s="10" t="inlineStr">
        <is>
          <t>Assets/Animations/Enemies/Enemy03_Chase.anim</t>
        </is>
      </c>
      <c r="N14" s="10" t="inlineStr">
        <is>
          <t>993×1124</t>
        </is>
      </c>
      <c r="O14" s="10" t="inlineStr">
        <is>
          <t>已完成</t>
        </is>
      </c>
      <c r="P14" s="10" t="inlineStr">
        <is>
          <t>待验收</t>
        </is>
      </c>
      <c r="Q14" s="10" t="n"/>
    </row>
    <row r="15" ht="34" customHeight="1" s="19">
      <c r="A15" s="10" t="inlineStr">
        <is>
          <t>巡逻机器人 Enemy03</t>
        </is>
      </c>
      <c r="B15" s="11" t="n">
        <v>14</v>
      </c>
      <c r="C15" s="12" t="inlineStr">
        <is>
          <t>P0</t>
        </is>
      </c>
      <c r="D15" s="10" t="inlineStr">
        <is>
          <t>Enemy03_Attack</t>
        </is>
      </c>
      <c r="E15" s="10" t="inlineStr">
        <is>
          <t>攻击</t>
        </is>
      </c>
      <c r="F15" s="11" t="n">
        <v>8</v>
      </c>
      <c r="G15" s="11" t="n">
        <v>20</v>
      </c>
      <c r="H15" s="10" t="inlineStr">
        <is>
          <t>否</t>
        </is>
      </c>
      <c r="I15" s="13">
        <f>IF(OR(F15="",G15=""),"",F15/G15)</f>
        <v/>
      </c>
      <c r="J15" s="10" t="inlineStr">
        <is>
          <t>帧5 HitOn；帧7 HitOff</t>
        </is>
      </c>
      <c r="K15" s="10" t="inlineStr">
        <is>
          <t>关卡3</t>
        </is>
      </c>
      <c r="L15" s="10" t="inlineStr">
        <is>
          <t>Assets/Art/Enemies/Enemy03/Sheets/Enemy03_Attack_sheet.png</t>
        </is>
      </c>
      <c r="M15" s="10" t="inlineStr">
        <is>
          <t>Assets/Animations/Enemies/Enemy03_Attack.anim</t>
        </is>
      </c>
      <c r="N15" s="10" t="inlineStr">
        <is>
          <t>993×1124</t>
        </is>
      </c>
      <c r="O15" s="10" t="inlineStr">
        <is>
          <t>已完成</t>
        </is>
      </c>
      <c r="P15" s="10" t="inlineStr">
        <is>
          <t>待验收</t>
        </is>
      </c>
      <c r="Q15" s="10" t="n"/>
    </row>
    <row r="16" ht="34" customHeight="1" s="19">
      <c r="A16" s="10" t="inlineStr">
        <is>
          <t>巡逻机器人 Enemy03</t>
        </is>
      </c>
      <c r="B16" s="11" t="n">
        <v>15</v>
      </c>
      <c r="C16" s="12" t="inlineStr">
        <is>
          <t>P0</t>
        </is>
      </c>
      <c r="D16" s="10" t="inlineStr">
        <is>
          <t>Enemy03_Hurt</t>
        </is>
      </c>
      <c r="E16" s="10" t="inlineStr">
        <is>
          <t>受击</t>
        </is>
      </c>
      <c r="F16" s="11" t="n">
        <v>2</v>
      </c>
      <c r="G16" s="11" t="n">
        <v>20</v>
      </c>
      <c r="H16" s="10" t="inlineStr">
        <is>
          <t>否</t>
        </is>
      </c>
      <c r="I16" s="13">
        <f>IF(OR(F16="",G16=""),"",F16/G16)</f>
        <v/>
      </c>
      <c r="J16" s="10" t="inlineStr">
        <is>
          <t>帧1 金属受击音（无后退）</t>
        </is>
      </c>
      <c r="K16" s="10" t="inlineStr">
        <is>
          <t>关卡3</t>
        </is>
      </c>
      <c r="L16" s="10" t="inlineStr">
        <is>
          <t>Assets/Art/Enemies/Enemy03/Sheets/Enemy03_Hurt_sheet.png</t>
        </is>
      </c>
      <c r="M16" s="10" t="inlineStr">
        <is>
          <t>Assets/Animations/Enemies/Enemy03_Hurt.anim</t>
        </is>
      </c>
      <c r="N16" s="10" t="inlineStr">
        <is>
          <t>993×1124</t>
        </is>
      </c>
      <c r="O16" s="10" t="inlineStr">
        <is>
          <t>已完成</t>
        </is>
      </c>
      <c r="P16" s="10" t="inlineStr">
        <is>
          <t>待验收</t>
        </is>
      </c>
      <c r="Q16" s="10" t="inlineStr">
        <is>
          <t>机械感，不做位移</t>
        </is>
      </c>
    </row>
    <row r="17" ht="34" customHeight="1" s="19">
      <c r="A17" s="10" t="inlineStr">
        <is>
          <t>巡逻机器人 Enemy03</t>
        </is>
      </c>
      <c r="B17" s="11" t="n">
        <v>16</v>
      </c>
      <c r="C17" s="12" t="inlineStr">
        <is>
          <t>P0</t>
        </is>
      </c>
      <c r="D17" s="10" t="inlineStr">
        <is>
          <t>Enemy03_Die</t>
        </is>
      </c>
      <c r="E17" s="10" t="inlineStr">
        <is>
          <t>爆炸销毁</t>
        </is>
      </c>
      <c r="F17" s="11" t="n">
        <v>10</v>
      </c>
      <c r="G17" s="11" t="n">
        <v>15</v>
      </c>
      <c r="H17" s="10" t="inlineStr">
        <is>
          <t>否</t>
        </is>
      </c>
      <c r="I17" s="13">
        <f>IF(OR(F17="",G17=""),"",F17/G17)</f>
        <v/>
      </c>
      <c r="J17" s="10" t="inlineStr">
        <is>
          <t>帧1 警报；帧8 爆炸特效；帧10 移除</t>
        </is>
      </c>
      <c r="K17" s="10" t="inlineStr">
        <is>
          <t>关卡3</t>
        </is>
      </c>
      <c r="L17" s="10" t="inlineStr">
        <is>
          <t>Assets/Art/Enemies/Enemy03/Sheets/Enemy03_Die_sheet.png</t>
        </is>
      </c>
      <c r="M17" s="10" t="inlineStr">
        <is>
          <t>Assets/Animations/Enemies/Enemy03_Die.anim</t>
        </is>
      </c>
      <c r="N17" s="10" t="inlineStr">
        <is>
          <t>993×1124</t>
        </is>
      </c>
      <c r="O17" s="10" t="inlineStr">
        <is>
          <t>已完成</t>
        </is>
      </c>
      <c r="P17" s="10" t="inlineStr">
        <is>
          <t>待验收</t>
        </is>
      </c>
      <c r="Q17" s="10" t="n"/>
    </row>
    <row r="18" ht="34" customHeight="1" s="19">
      <c r="A18" s="10" t="inlineStr">
        <is>
          <t>毒气防御塔 Tower01</t>
        </is>
      </c>
      <c r="B18" s="11" t="n">
        <v>17</v>
      </c>
      <c r="C18" s="12" t="inlineStr">
        <is>
          <t>P0</t>
        </is>
      </c>
      <c r="D18" s="10" t="inlineStr">
        <is>
          <t>Tower01_Idle</t>
        </is>
      </c>
      <c r="E18" s="10" t="inlineStr">
        <is>
          <t>待机</t>
        </is>
      </c>
      <c r="F18" s="11" t="n">
        <v>4</v>
      </c>
      <c r="G18" s="11" t="n">
        <v>12</v>
      </c>
      <c r="H18" s="10" t="inlineStr">
        <is>
          <t>是</t>
        </is>
      </c>
      <c r="I18" s="13">
        <f>IF(OR(F18="",G18=""),"",F18/G18)</f>
        <v/>
      </c>
      <c r="J18" s="10" t="inlineStr">
        <is>
          <t>无</t>
        </is>
      </c>
      <c r="K18" s="10" t="inlineStr">
        <is>
          <t>关卡3 固定单位</t>
        </is>
      </c>
      <c r="L18" s="10" t="inlineStr">
        <is>
          <t>Assets/Art/Towers/Tower01/Sheets/Tower01_Idle_sheet.png</t>
        </is>
      </c>
      <c r="M18" s="10" t="inlineStr">
        <is>
          <t>Assets/Animations/Towers/Tower01_Idle.anim</t>
        </is>
      </c>
      <c r="N18" s="10" t="inlineStr">
        <is>
          <t>942×979</t>
        </is>
      </c>
      <c r="O18" s="10" t="inlineStr">
        <is>
          <t>已完成</t>
        </is>
      </c>
      <c r="P18" s="10" t="inlineStr">
        <is>
          <t>待验收</t>
        </is>
      </c>
      <c r="Q18" s="10" t="n"/>
    </row>
    <row r="19" ht="34" customHeight="1" s="19">
      <c r="A19" s="10" t="inlineStr">
        <is>
          <t>毒气防御塔 Tower01</t>
        </is>
      </c>
      <c r="B19" s="11" t="n">
        <v>18</v>
      </c>
      <c r="C19" s="14" t="inlineStr">
        <is>
          <t>P1</t>
        </is>
      </c>
      <c r="D19" s="10" t="inlineStr">
        <is>
          <t>Tower01_Aim</t>
        </is>
      </c>
      <c r="E19" s="10" t="inlineStr">
        <is>
          <t>瞄准</t>
        </is>
      </c>
      <c r="F19" s="11" t="n">
        <v>4</v>
      </c>
      <c r="G19" s="11" t="n">
        <v>15</v>
      </c>
      <c r="H19" s="10" t="inlineStr">
        <is>
          <t>否</t>
        </is>
      </c>
      <c r="I19" s="13">
        <f>IF(OR(F19="",G19=""),"",F19/G19)</f>
        <v/>
      </c>
      <c r="J19" s="10" t="inlineStr">
        <is>
          <t>帧4 锁定音</t>
        </is>
      </c>
      <c r="K19" s="10" t="inlineStr">
        <is>
          <t>关卡3 攻击前摇</t>
        </is>
      </c>
      <c r="L19" s="10" t="inlineStr">
        <is>
          <t>Assets/Art/Towers/Tower01/Sheets/Tower01_Aim_sheet.png</t>
        </is>
      </c>
      <c r="M19" s="10" t="inlineStr">
        <is>
          <t>Assets/Animations/Towers/Tower01_Aim.anim</t>
        </is>
      </c>
      <c r="N19" s="10" t="inlineStr">
        <is>
          <t>942×979</t>
        </is>
      </c>
      <c r="O19" s="10" t="inlineStr">
        <is>
          <t>已完成</t>
        </is>
      </c>
      <c r="P19" s="10" t="inlineStr">
        <is>
          <t>待验收</t>
        </is>
      </c>
      <c r="Q19" s="10" t="n"/>
    </row>
    <row r="20" ht="34" customHeight="1" s="19">
      <c r="A20" s="10" t="inlineStr">
        <is>
          <t>毒气防御塔 Tower01</t>
        </is>
      </c>
      <c r="B20" s="11" t="n">
        <v>19</v>
      </c>
      <c r="C20" s="12" t="inlineStr">
        <is>
          <t>P0</t>
        </is>
      </c>
      <c r="D20" s="10" t="inlineStr">
        <is>
          <t>Tower01_Fire</t>
        </is>
      </c>
      <c r="E20" s="10" t="inlineStr">
        <is>
          <t>喷毒</t>
        </is>
      </c>
      <c r="F20" s="11" t="n">
        <v>6</v>
      </c>
      <c r="G20" s="11" t="n">
        <v>18</v>
      </c>
      <c r="H20" s="10" t="inlineStr">
        <is>
          <t>否</t>
        </is>
      </c>
      <c r="I20" s="13">
        <f>IF(OR(F20="",G20=""),"",F20/G20)</f>
        <v/>
      </c>
      <c r="J20" s="10" t="inlineStr">
        <is>
          <t>帧2 生成毒气弹幕；帧6 停火</t>
        </is>
      </c>
      <c r="K20" s="10" t="inlineStr">
        <is>
          <t>关卡3</t>
        </is>
      </c>
      <c r="L20" s="10" t="inlineStr">
        <is>
          <t>Assets/Art/Towers/Tower01/Sheets/Tower01_Fire_sheet.png</t>
        </is>
      </c>
      <c r="M20" s="10" t="inlineStr">
        <is>
          <t>Assets/Animations/Towers/Tower01_Fire.anim</t>
        </is>
      </c>
      <c r="N20" s="10" t="inlineStr">
        <is>
          <t>942×979</t>
        </is>
      </c>
      <c r="O20" s="10" t="inlineStr">
        <is>
          <t>已完成</t>
        </is>
      </c>
      <c r="P20" s="10" t="inlineStr">
        <is>
          <t>待验收</t>
        </is>
      </c>
      <c r="Q20" s="10" t="n"/>
    </row>
    <row r="21" ht="34" customHeight="1" s="19">
      <c r="A21" s="10" t="inlineStr">
        <is>
          <t>毒气防御塔 Tower01</t>
        </is>
      </c>
      <c r="B21" s="11" t="n">
        <v>20</v>
      </c>
      <c r="C21" s="12" t="inlineStr">
        <is>
          <t>P0</t>
        </is>
      </c>
      <c r="D21" s="10" t="inlineStr">
        <is>
          <t>Tower01_Disable</t>
        </is>
      </c>
      <c r="E21" s="10" t="inlineStr">
        <is>
          <t>瘫痪销毁</t>
        </is>
      </c>
      <c r="F21" s="11" t="n">
        <v>6</v>
      </c>
      <c r="G21" s="11" t="n">
        <v>12</v>
      </c>
      <c r="H21" s="10" t="inlineStr">
        <is>
          <t>否</t>
        </is>
      </c>
      <c r="I21" s="13">
        <f>IF(OR(F21="",G21=""),"",F21/G21)</f>
        <v/>
      </c>
      <c r="J21" s="10" t="inlineStr">
        <is>
          <t>帧1 短路音；帧6 销毁</t>
        </is>
      </c>
      <c r="K21" s="10" t="inlineStr">
        <is>
          <t>关卡3</t>
        </is>
      </c>
      <c r="L21" s="10" t="inlineStr">
        <is>
          <t>Assets/Art/Towers/Tower01/Sheets/Tower01_Disable_sheet.png</t>
        </is>
      </c>
      <c r="M21" s="10" t="inlineStr">
        <is>
          <t>Assets/Animations/Towers/Tower01_Disable.anim</t>
        </is>
      </c>
      <c r="N21" s="10" t="inlineStr">
        <is>
          <t>942×979</t>
        </is>
      </c>
      <c r="O21" s="10" t="inlineStr">
        <is>
          <t>已完成</t>
        </is>
      </c>
      <c r="P21" s="10" t="inlineStr">
        <is>
          <t>待验收</t>
        </is>
      </c>
      <c r="Q21" s="10" t="inlineStr">
        <is>
          <t>以销毁代替死亡</t>
        </is>
      </c>
    </row>
    <row r="22" ht="34" customHeight="1" s="19">
      <c r="A22" s="10" t="inlineStr">
        <is>
          <t>最终BOSS Boss01</t>
        </is>
      </c>
      <c r="B22" s="11" t="n">
        <v>21</v>
      </c>
      <c r="C22" s="12" t="inlineStr">
        <is>
          <t>P0</t>
        </is>
      </c>
      <c r="D22" s="10" t="inlineStr">
        <is>
          <t>Boss01_Idle</t>
        </is>
      </c>
      <c r="E22" s="10" t="inlineStr">
        <is>
          <t>待机</t>
        </is>
      </c>
      <c r="F22" s="11" t="n">
        <v>6</v>
      </c>
      <c r="G22" s="11" t="n">
        <v>10</v>
      </c>
      <c r="H22" s="10" t="inlineStr">
        <is>
          <t>是</t>
        </is>
      </c>
      <c r="I22" s="13">
        <f>IF(OR(F22="",G22=""),"",F22/G22)</f>
        <v/>
      </c>
      <c r="J22" s="10" t="inlineStr">
        <is>
          <t>无</t>
        </is>
      </c>
      <c r="K22" s="10" t="inlineStr">
        <is>
          <t>关卡3 BOSS</t>
        </is>
      </c>
      <c r="L22" s="10" t="inlineStr">
        <is>
          <t>Assets/Art/Boss/Boss01/Sheets/Boss01_Idle_sheet.png</t>
        </is>
      </c>
      <c r="M22" s="10" t="inlineStr">
        <is>
          <t>Assets/Animations/Boss/Boss01_Idle.anim</t>
        </is>
      </c>
      <c r="N22" s="10" t="inlineStr">
        <is>
          <t>1216×798</t>
        </is>
      </c>
      <c r="O22" s="10" t="inlineStr">
        <is>
          <t>已完成</t>
        </is>
      </c>
      <c r="P22" s="10" t="inlineStr">
        <is>
          <t>待验收</t>
        </is>
      </c>
      <c r="Q22" s="10" t="n"/>
    </row>
    <row r="23" ht="34" customHeight="1" s="19">
      <c r="A23" s="10" t="inlineStr">
        <is>
          <t>最终BOSS Boss01</t>
        </is>
      </c>
      <c r="B23" s="11" t="n">
        <v>22</v>
      </c>
      <c r="C23" s="12" t="inlineStr">
        <is>
          <t>P0</t>
        </is>
      </c>
      <c r="D23" s="10" t="inlineStr">
        <is>
          <t>Boss01_Move</t>
        </is>
      </c>
      <c r="E23" s="10" t="inlineStr">
        <is>
          <t>移动</t>
        </is>
      </c>
      <c r="F23" s="11" t="n">
        <v>10</v>
      </c>
      <c r="G23" s="11" t="n">
        <v>12</v>
      </c>
      <c r="H23" s="10" t="inlineStr">
        <is>
          <t>是</t>
        </is>
      </c>
      <c r="I23" s="13">
        <f>IF(OR(F23="",G23=""),"",F23/G23)</f>
        <v/>
      </c>
      <c r="J23" s="10" t="inlineStr">
        <is>
          <t>帧1/帧6 脚步（重）</t>
        </is>
      </c>
      <c r="K23" s="10" t="inlineStr">
        <is>
          <t>关卡3 BOSS</t>
        </is>
      </c>
      <c r="L23" s="10" t="inlineStr">
        <is>
          <t>Assets/Art/Boss/Boss01/Sheets/Boss01_Move_sheet.png</t>
        </is>
      </c>
      <c r="M23" s="10" t="inlineStr">
        <is>
          <t>Assets/Animations/Boss/Boss01_Move.anim</t>
        </is>
      </c>
      <c r="N23" s="10" t="inlineStr">
        <is>
          <t>1216×798</t>
        </is>
      </c>
      <c r="O23" s="10" t="inlineStr">
        <is>
          <t>已完成</t>
        </is>
      </c>
      <c r="P23" s="10" t="inlineStr">
        <is>
          <t>待验收</t>
        </is>
      </c>
      <c r="Q23" s="10" t="n"/>
    </row>
    <row r="24" ht="34" customHeight="1" s="19">
      <c r="A24" s="10" t="inlineStr">
        <is>
          <t>最终BOSS Boss01</t>
        </is>
      </c>
      <c r="B24" s="11" t="n">
        <v>23</v>
      </c>
      <c r="C24" s="12" t="inlineStr">
        <is>
          <t>P0</t>
        </is>
      </c>
      <c r="D24" s="10" t="inlineStr">
        <is>
          <t>Boss01_AttackA</t>
        </is>
      </c>
      <c r="E24" s="10" t="inlineStr">
        <is>
          <t>冲撞</t>
        </is>
      </c>
      <c r="F24" s="11" t="n">
        <v>10</v>
      </c>
      <c r="G24" s="11" t="n">
        <v>20</v>
      </c>
      <c r="H24" s="10" t="inlineStr">
        <is>
          <t>否</t>
        </is>
      </c>
      <c r="I24" s="13">
        <f>IF(OR(F24="",G24=""),"",F24/G24)</f>
        <v/>
      </c>
      <c r="J24" s="10" t="inlineStr">
        <is>
          <t>帧6 HitOn；帧8 HitOff；帧10 End</t>
        </is>
      </c>
      <c r="K24" s="10" t="inlineStr">
        <is>
          <t>关卡3 近战</t>
        </is>
      </c>
      <c r="L24" s="10" t="inlineStr">
        <is>
          <t>Assets/Art/Boss/Boss01/Sheets/Boss01_AttackA_sheet.png</t>
        </is>
      </c>
      <c r="M24" s="10" t="inlineStr">
        <is>
          <t>Assets/Animations/Boss/Boss01_AttackA.anim</t>
        </is>
      </c>
      <c r="N24" s="10" t="inlineStr">
        <is>
          <t>1216×798</t>
        </is>
      </c>
      <c r="O24" s="10" t="inlineStr">
        <is>
          <t>已完成</t>
        </is>
      </c>
      <c r="P24" s="10" t="inlineStr">
        <is>
          <t>待验收</t>
        </is>
      </c>
      <c r="Q24" s="10" t="n"/>
    </row>
    <row r="25" ht="34" customHeight="1" s="19">
      <c r="A25" s="10" t="inlineStr">
        <is>
          <t>最终BOSS Boss01</t>
        </is>
      </c>
      <c r="B25" s="11" t="n">
        <v>24</v>
      </c>
      <c r="C25" s="12" t="inlineStr">
        <is>
          <t>P0</t>
        </is>
      </c>
      <c r="D25" s="10" t="inlineStr">
        <is>
          <t>Boss01_AttackB</t>
        </is>
      </c>
      <c r="E25" s="10" t="inlineStr">
        <is>
          <t>远程弹幕</t>
        </is>
      </c>
      <c r="F25" s="11" t="n">
        <v>12</v>
      </c>
      <c r="G25" s="11" t="n">
        <v>18</v>
      </c>
      <c r="H25" s="10" t="inlineStr">
        <is>
          <t>否</t>
        </is>
      </c>
      <c r="I25" s="13">
        <f>IF(OR(F25="",G25=""),"",F25/G25)</f>
        <v/>
      </c>
      <c r="J25" s="10" t="inlineStr">
        <is>
          <t>帧5 / 帧8 生成弹幕；帧12 End</t>
        </is>
      </c>
      <c r="K25" s="10" t="inlineStr">
        <is>
          <t>关卡3 远程</t>
        </is>
      </c>
      <c r="L25" s="10" t="inlineStr">
        <is>
          <t>Assets/Art/Boss/Boss01/Sheets/Boss01_AttackB_sheet.png</t>
        </is>
      </c>
      <c r="M25" s="10" t="inlineStr">
        <is>
          <t>Assets/Animations/Boss/Boss01_AttackB.anim</t>
        </is>
      </c>
      <c r="N25" s="10" t="inlineStr">
        <is>
          <t>1216×798</t>
        </is>
      </c>
      <c r="O25" s="10" t="inlineStr">
        <is>
          <t>已完成</t>
        </is>
      </c>
      <c r="P25" s="10" t="inlineStr">
        <is>
          <t>待验收</t>
        </is>
      </c>
      <c r="Q25" s="10" t="n"/>
    </row>
    <row r="26" ht="34" customHeight="1" s="19">
      <c r="A26" s="10" t="inlineStr">
        <is>
          <t>最终BOSS Boss01</t>
        </is>
      </c>
      <c r="B26" s="11" t="n">
        <v>25</v>
      </c>
      <c r="C26" s="14" t="inlineStr">
        <is>
          <t>P1</t>
        </is>
      </c>
      <c r="D26" s="10" t="inlineStr">
        <is>
          <t>Boss01_Special</t>
        </is>
      </c>
      <c r="E26" s="10" t="inlineStr">
        <is>
          <t>特殊技能</t>
        </is>
      </c>
      <c r="F26" s="11" t="n">
        <v>14</v>
      </c>
      <c r="G26" s="11" t="n">
        <v>24</v>
      </c>
      <c r="H26" s="10" t="inlineStr">
        <is>
          <t>否</t>
        </is>
      </c>
      <c r="I26" s="13">
        <f>IF(OR(F26="",G26=""),"",F26/G26)</f>
        <v/>
      </c>
      <c r="J26" s="10" t="inlineStr">
        <is>
          <t>帧6 技能生效；帧14 End</t>
        </is>
      </c>
      <c r="K26" s="10" t="inlineStr">
        <is>
          <t>关卡3 阶段技能</t>
        </is>
      </c>
      <c r="L26" s="10" t="inlineStr">
        <is>
          <t>Assets/Art/Boss/Boss01/Sheets/Boss01_Special_sheet.png</t>
        </is>
      </c>
      <c r="M26" s="10" t="inlineStr">
        <is>
          <t>Assets/Animations/Boss/Boss01_Special.anim</t>
        </is>
      </c>
      <c r="N26" s="10" t="inlineStr">
        <is>
          <t>1216×798</t>
        </is>
      </c>
      <c r="O26" s="10" t="inlineStr">
        <is>
          <t>已完成</t>
        </is>
      </c>
      <c r="P26" s="10" t="inlineStr">
        <is>
          <t>待验收</t>
        </is>
      </c>
      <c r="Q26" s="10" t="n"/>
    </row>
    <row r="27" ht="34" customHeight="1" s="19">
      <c r="A27" s="10" t="inlineStr">
        <is>
          <t>最终BOSS Boss01</t>
        </is>
      </c>
      <c r="B27" s="11" t="n">
        <v>26</v>
      </c>
      <c r="C27" s="12" t="inlineStr">
        <is>
          <t>P0</t>
        </is>
      </c>
      <c r="D27" s="10" t="inlineStr">
        <is>
          <t>Boss01_Hurt</t>
        </is>
      </c>
      <c r="E27" s="10" t="inlineStr">
        <is>
          <t>受击硬直</t>
        </is>
      </c>
      <c r="F27" s="11" t="n">
        <v>3</v>
      </c>
      <c r="G27" s="11" t="n">
        <v>15</v>
      </c>
      <c r="H27" s="10" t="inlineStr">
        <is>
          <t>否</t>
        </is>
      </c>
      <c r="I27" s="13">
        <f>IF(OR(F27="",G27=""),"",F27/G27)</f>
        <v/>
      </c>
      <c r="J27" s="10" t="inlineStr">
        <is>
          <t>帧1 金属受击音</t>
        </is>
      </c>
      <c r="K27" s="10" t="inlineStr">
        <is>
          <t>关卡3</t>
        </is>
      </c>
      <c r="L27" s="10" t="inlineStr">
        <is>
          <t>Assets/Art/Boss/Boss01/Sheets/Boss01_Hurt_sheet.png</t>
        </is>
      </c>
      <c r="M27" s="10" t="inlineStr">
        <is>
          <t>Assets/Animations/Boss/Boss01_Hurt.anim</t>
        </is>
      </c>
      <c r="N27" s="10" t="inlineStr">
        <is>
          <t>1216×798</t>
        </is>
      </c>
      <c r="O27" s="10" t="inlineStr">
        <is>
          <t>已完成</t>
        </is>
      </c>
      <c r="P27" s="10" t="inlineStr">
        <is>
          <t>待验收</t>
        </is>
      </c>
      <c r="Q27" s="10" t="inlineStr">
        <is>
          <t>硬直比小怪短</t>
        </is>
      </c>
    </row>
    <row r="28" ht="34" customHeight="1" s="19">
      <c r="A28" s="10" t="inlineStr">
        <is>
          <t>最终BOSS Boss01</t>
        </is>
      </c>
      <c r="B28" s="11" t="n">
        <v>27</v>
      </c>
      <c r="C28" s="14" t="inlineStr">
        <is>
          <t>P1</t>
        </is>
      </c>
      <c r="D28" s="10" t="inlineStr">
        <is>
          <t>Boss01_Enrage</t>
        </is>
      </c>
      <c r="E28" s="10" t="inlineStr">
        <is>
          <t>半血狂暴</t>
        </is>
      </c>
      <c r="F28" s="11" t="n">
        <v>6</v>
      </c>
      <c r="G28" s="11" t="n">
        <v>20</v>
      </c>
      <c r="H28" s="10" t="inlineStr">
        <is>
          <t>否</t>
        </is>
      </c>
      <c r="I28" s="13">
        <f>IF(OR(F28="",G28=""),"",F28/G28)</f>
        <v/>
      </c>
      <c r="J28" s="10" t="inlineStr">
        <is>
          <t>帧1 狂暴音；帧6 切换强化状态</t>
        </is>
      </c>
      <c r="K28" s="10" t="inlineStr">
        <is>
          <t>关卡3 阶段转换</t>
        </is>
      </c>
      <c r="L28" s="10" t="inlineStr">
        <is>
          <t>Assets/Art/Boss/Boss01/Sheets/Boss01_Enrage_sheet.png</t>
        </is>
      </c>
      <c r="M28" s="10" t="inlineStr">
        <is>
          <t>Assets/Animations/Boss/Boss01_Enrage.anim</t>
        </is>
      </c>
      <c r="N28" s="10" t="inlineStr">
        <is>
          <t>1216×798</t>
        </is>
      </c>
      <c r="O28" s="10" t="inlineStr">
        <is>
          <t>已完成</t>
        </is>
      </c>
      <c r="P28" s="10" t="inlineStr">
        <is>
          <t>待验收</t>
        </is>
      </c>
      <c r="Q28" s="10" t="inlineStr">
        <is>
          <t>一次性切换</t>
        </is>
      </c>
    </row>
    <row r="29" ht="34" customHeight="1" s="19">
      <c r="A29" s="10" t="inlineStr">
        <is>
          <t>最终BOSS Boss01</t>
        </is>
      </c>
      <c r="B29" s="11" t="n">
        <v>28</v>
      </c>
      <c r="C29" s="12" t="inlineStr">
        <is>
          <t>P0</t>
        </is>
      </c>
      <c r="D29" s="10" t="inlineStr">
        <is>
          <t>Boss01_Die</t>
        </is>
      </c>
      <c r="E29" s="10" t="inlineStr">
        <is>
          <t>BOSS 死亡</t>
        </is>
      </c>
      <c r="F29" s="11" t="n">
        <v>16</v>
      </c>
      <c r="G29" s="11" t="n">
        <v>15</v>
      </c>
      <c r="H29" s="10" t="inlineStr">
        <is>
          <t>否</t>
        </is>
      </c>
      <c r="I29" s="13">
        <f>IF(OR(F29="",G29=""),"",F29/G29)</f>
        <v/>
      </c>
      <c r="J29" s="10" t="inlineStr">
        <is>
          <t>帧1 报警；帧5 爆炸；帧13 坍塌；帧16 DieEnd（通关结算）</t>
        </is>
      </c>
      <c r="K29" s="10" t="inlineStr">
        <is>
          <t>关卡3 通关</t>
        </is>
      </c>
      <c r="L29" s="10" t="inlineStr">
        <is>
          <t>Assets/Art/Boss/Boss01/Sheets/Boss01_Die_sheet.png</t>
        </is>
      </c>
      <c r="M29" s="10" t="inlineStr">
        <is>
          <t>Assets/Animations/Boss/Boss01_Die.anim</t>
        </is>
      </c>
      <c r="N29" s="10" t="inlineStr">
        <is>
          <t>1216×798</t>
        </is>
      </c>
      <c r="O29" s="10" t="inlineStr">
        <is>
          <t>已完成</t>
        </is>
      </c>
      <c r="P29" s="10" t="inlineStr">
        <is>
          <t>待验收</t>
        </is>
      </c>
      <c r="Q29" s="10" t="inlineStr">
        <is>
          <t>仪式感，约1秒+</t>
        </is>
      </c>
    </row>
    <row r="30">
      <c r="A30" s="10" t="inlineStr">
        <is>
          <t>最终BOSS Boss01</t>
        </is>
      </c>
      <c r="B30" s="11" t="n">
        <v>29</v>
      </c>
      <c r="C30" s="12" t="inlineStr">
        <is>
          <t>P0</t>
        </is>
      </c>
      <c r="D30" s="10" t="inlineStr">
        <is>
          <t>Boss01_Charge</t>
        </is>
      </c>
      <c r="E30" s="10" t="inlineStr">
        <is>
          <t>蓄力（技能B / 特殊招前摇）</t>
        </is>
      </c>
      <c r="F30" s="11" t="n">
        <v>8</v>
      </c>
      <c r="G30" s="11" t="n">
        <v>12</v>
      </c>
      <c r="H30" s="10" t="inlineStr">
        <is>
          <t>是</t>
        </is>
      </c>
      <c r="I30" s="13">
        <f>IF(OR(F30="",G30=""),"",F30/G30)</f>
        <v/>
      </c>
      <c r="J30" s="10" t="inlineStr">
        <is>
          <t>无（循环态，无事件）</t>
        </is>
      </c>
      <c r="K30" s="10" t="inlineStr">
        <is>
          <t>关卡3 技能B / 特殊招长前摇</t>
        </is>
      </c>
      <c r="L30" s="10" t="inlineStr">
        <is>
          <t>Assets/Art/Boss/Boss01/Sheets/Boss01_Charge_sheet.png</t>
        </is>
      </c>
      <c r="M30" s="10" t="inlineStr">
        <is>
          <t>Assets/Animations/Boss/Boss01/Charge.anim</t>
        </is>
      </c>
      <c r="N30" s="10" t="inlineStr">
        <is>
          <t>1216×798</t>
        </is>
      </c>
      <c r="O30" s="10" t="inlineStr">
        <is>
          <t>已完成</t>
        </is>
      </c>
      <c r="P30" s="10" t="inlineStr">
        <is>
          <t>待验收</t>
        </is>
      </c>
      <c r="Q30" s="10" t="inlineStr">
        <is>
          <t>8帧1.1s循环；核心鼓胀→绿雾外溢→回落；逐帧等高+底座锚点</t>
        </is>
      </c>
    </row>
  </sheetData>
  <autoFilter ref="A1:Q29"/>
  <dataValidations count="2">
    <dataValidation sqref="O2:O29" showDropDown="0" showInputMessage="0" showErrorMessage="0" allowBlank="1" type="list">
      <formula1>"未开始,制作中,已完成"</formula1>
    </dataValidation>
    <dataValidation sqref="P2:P29" showDropDown="0" showInputMessage="0" showErrorMessage="0" allowBlank="1" type="list">
      <formula1>"待验收,通过,返工"</formula1>
    </dataValidation>
  </dataValidations>
  <pageMargins left="0.3" right="0.3" top="0.4" bottom="0.4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16" customWidth="1" style="19" min="1" max="1"/>
    <col width="105" customWidth="1" style="19" min="2" max="2"/>
  </cols>
  <sheetData>
    <row r="1" ht="20" customHeight="1" s="19">
      <c r="A1" s="20" t="inlineStr">
        <is>
          <t>资源制作规范（帧动画路线）</t>
        </is>
      </c>
    </row>
    <row r="3" ht="24" customHeight="1" s="19">
      <c r="A3" s="9" t="inlineStr">
        <is>
          <t>分类</t>
        </is>
      </c>
      <c r="B3" s="9" t="inlineStr">
        <is>
          <t>规范</t>
        </is>
      </c>
    </row>
    <row r="4" ht="38" customHeight="1" s="19">
      <c r="A4" s="16" t="inlineStr">
        <is>
          <t>单帧画布</t>
        </is>
      </c>
      <c r="B4" s="17" t="inlineStr">
        <is>
          <t>主角 512×512；小怪 / 防御塔 256×256；BOSS 1024×1024；透明底 PNG。同一角色全部动作等大画布。</t>
        </is>
      </c>
    </row>
    <row r="5" ht="38" customHeight="1" s="19">
      <c r="A5" s="16" t="inlineStr">
        <is>
          <t>锚点与基线</t>
        </is>
      </c>
      <c r="B5" s="17" t="inlineStr">
        <is>
          <t>Pivot 统一 Bottom Center；角色在格内水平中线+脚底基线固定，四周留 2px 透明 padding 防切边。</t>
        </is>
      </c>
    </row>
    <row r="6" ht="24" customHeight="1" s="19">
      <c r="A6" s="16" t="inlineStr">
        <is>
          <t>统一朝向</t>
        </is>
      </c>
      <c r="B6" s="17" t="inlineStr">
        <is>
          <t>全部朝右绘制，朝左用 SpriteRenderer.flipX；攻击判定点挂子物体随翻转。</t>
        </is>
      </c>
    </row>
    <row r="7" ht="38" customHeight="1" s="19">
      <c r="A7" s="16" t="inlineStr">
        <is>
          <t>帧命名</t>
        </is>
      </c>
      <c r="B7" s="17" t="inlineStr">
        <is>
          <t>Clip名_两位序号：Player_Run_00 ~ Player_Run_15；循环动作 _00 即接缝帧，首尾不重复存。</t>
        </is>
      </c>
    </row>
    <row r="8" ht="24" customHeight="1" s="19">
      <c r="A8" s="16" t="inlineStr">
        <is>
          <t>精灵表</t>
        </is>
      </c>
      <c r="B8" s="17" t="inlineStr">
        <is>
          <t>一个动作一张横排 Sheet，等大网格切片；后续用 Sprite Atlas 按角色打包。</t>
        </is>
      </c>
    </row>
    <row r="9" ht="134" customHeight="1" s="19">
      <c r="A9" s="16" t="inlineStr">
        <is>
          <t>目录结构</t>
        </is>
      </c>
      <c r="B9" s="17" t="inlineStr">
        <is>
          <t>Assets/Art/Player/Sheets/（主角）
Assets/Art/Enemies/Sheets/（小怪）
Assets/Art/Towers/Sheets/（防御塔）
Assets/Art/Boss/Sheets/（BOSS）
Assets/Art/FX/（独立特效，禁止烘焙进角色帧）
Assets/Animations/Player|Enemies|Towers|Boss/（.anim）
Assets/Animators/（状态机）
Assets/Prefabs/（预制体）</t>
        </is>
      </c>
    </row>
    <row r="10" ht="38" customHeight="1" s="19">
      <c r="A10" s="16" t="inlineStr">
        <is>
          <t>循环设置</t>
        </is>
      </c>
      <c r="B10" s="17" t="inlineStr">
        <is>
          <t>Idle / Run / Fall / Victory 勾 Loop Time，其余不循环；循环只存一个周期的帧。</t>
        </is>
      </c>
    </row>
    <row r="11" ht="38" customHeight="1" s="19">
      <c r="A11" s="16" t="inlineStr">
        <is>
          <t>Samples 与帧率</t>
        </is>
      </c>
      <c r="B11" s="17" t="inlineStr">
        <is>
          <t>循环动作 12-24，爆发动作 15-30（见清单 Samples 列）；游戏锁 60fps：VSync=Every V Blank，Fixed Timestep=0.016667。</t>
        </is>
      </c>
    </row>
    <row r="12" ht="38" customHeight="1" s="19">
      <c r="A12" s="16" t="inlineStr">
        <is>
          <t>攻击帧结构</t>
        </is>
      </c>
      <c r="B12" s="17" t="inlineStr">
        <is>
          <t>前摇（预判/可被取消）→ 判定 1-3 帧（Hitbox On）→ 后摇（硬直）；HitOn/HitOff 必须用 Animation Event 调客户端代码。</t>
        </is>
      </c>
    </row>
    <row r="13" ht="38" customHeight="1" s="19">
      <c r="A13" s="16" t="inlineStr">
        <is>
          <t>Animator 参数</t>
        </is>
      </c>
      <c r="B13" s="17" t="inlineStr">
        <is>
          <t>Speed(float)、IsGrounded(bool)、VVelocity(float)、Attack/Hurt/Dash(Trigger)、IsDead(bool)。</t>
        </is>
      </c>
    </row>
    <row r="14" ht="54" customHeight="1" s="19">
      <c r="A14" s="16" t="inlineStr">
        <is>
          <t>打断优先级</t>
        </is>
      </c>
      <c r="B14" s="17" t="inlineStr">
        <is>
          <t>Die &gt; Hurt &gt; Attack/Interact &gt; Dash &gt; Jump &gt; Run/Idle；Any State → Hurt / Die 设最高优先级并允许 Can Transition To Self。</t>
        </is>
      </c>
    </row>
    <row r="15" ht="54" customHeight="1" s="19">
      <c r="A15" s="16" t="inlineStr">
        <is>
          <t>位移同步</t>
        </is>
      </c>
      <c r="B15" s="17" t="inlineStr">
        <is>
          <t>关闭 Root Motion，Rigidbody2D 代码驱动；Run 循环 0.67s × moveSpeed = 单循环前进距离（moveSpeed=4 时 2.67 单位），步幅按此画，防打滑。</t>
        </is>
      </c>
    </row>
    <row r="16" ht="54" customHeight="1" s="19">
      <c r="A16" s="16" t="inlineStr">
        <is>
          <t>纹理导入</t>
        </is>
      </c>
      <c r="B16" s="17" t="inlineStr">
        <is>
          <t>Texture Type=Sprite 2D and UI；Filter=Bilinear（像素风改 Point）；Compression：PC 用 BC7、移动端用 ASTC 6×6；Generate Mip Maps 关；Max Size 4096。</t>
        </is>
      </c>
    </row>
    <row r="17" ht="38" customHeight="1" s="19">
      <c r="A17" s="16" t="inlineStr">
        <is>
          <t>特效独立</t>
        </is>
      </c>
      <c r="B17" s="17" t="inlineStr">
        <is>
          <t>挥砍轨迹、跑步/落地尘土、受击火花、毒气、爆炸均为 Assets/Art/FX/ 下独立精灵，由动画事件生成，不画进角色帧。</t>
        </is>
      </c>
    </row>
    <row r="18" ht="38" customHeight="1" s="19">
      <c r="A18" s="16" t="inlineStr">
        <is>
          <t>音效事件</t>
        </is>
      </c>
      <c r="B18" s="17" t="inlineStr">
        <is>
          <t>脚步 / 起跳 / 落地 / 挥击 / 受击 / 死亡在对应事件帧挂 AudioSource.PlayOneShot。</t>
        </is>
      </c>
    </row>
    <row r="19" ht="38" customHeight="1" s="19">
      <c r="A19" s="16" t="inlineStr">
        <is>
          <t>状态流转</t>
        </is>
      </c>
      <c r="B19" s="17" t="inlineStr">
        <is>
          <t>制作状态：未开始 → 制作中 → 已完成；验收状态：待验收 → 通过 / 返工（返工回到制作中）。</t>
        </is>
      </c>
    </row>
  </sheetData>
  <mergeCells count="1">
    <mergeCell ref="A1:B1"/>
  </mergeCells>
  <pageMargins left="0.3" right="0.3" top="0.4" bottom="0.4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2026-10-11T17:15:03Z</dcterms:created>
  <dcterms:modified xmlns:dcterms="http://purl.org/dc/terms/" xmlns:xsi="http://www.w3.org/2001/XMLSchema-instance" xsi:type="dcterms:W3CDTF">2026-10-26T11:09:49Z</dcterms:modified>
  <cp:lastModifiedBy>WSX</cp:lastModifiedBy>
</cp:coreProperties>
</file>